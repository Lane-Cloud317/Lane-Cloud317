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企划部周报\"/>
    </mc:Choice>
  </mc:AlternateContent>
  <xr:revisionPtr revIDLastSave="0" documentId="13_ncr:1_{11FED75A-069E-4558-81B0-EF73184E57C5}" xr6:coauthVersionLast="47" xr6:coauthVersionMax="47" xr10:uidLastSave="{00000000-0000-0000-0000-000000000000}"/>
  <bookViews>
    <workbookView xWindow="28680" yWindow="-3585" windowWidth="29040" windowHeight="15720" xr2:uid="{00000000-000D-0000-FFFF-FFFF00000000}"/>
  </bookViews>
  <sheets>
    <sheet name="手動作業站位風險排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N21" i="1"/>
  <c r="N12" i="1"/>
  <c r="N13" i="1"/>
  <c r="N14" i="1"/>
  <c r="N15" i="1"/>
  <c r="D6" i="1" s="1"/>
  <c r="N16" i="1"/>
  <c r="N17" i="1"/>
  <c r="N18" i="1"/>
  <c r="N19" i="1"/>
  <c r="N20" i="1"/>
  <c r="N22" i="1"/>
  <c r="N23" i="1"/>
  <c r="N24" i="1"/>
  <c r="N25" i="1"/>
  <c r="N26" i="1"/>
  <c r="N27" i="1"/>
  <c r="N28" i="1"/>
  <c r="N29" i="1"/>
  <c r="N30" i="1"/>
  <c r="B30" i="1"/>
  <c r="B29" i="1"/>
  <c r="B28" i="1"/>
  <c r="B27" i="1"/>
  <c r="B26" i="1"/>
  <c r="B25" i="1"/>
  <c r="B19" i="1"/>
  <c r="B13" i="1"/>
  <c r="B14" i="1"/>
  <c r="B15" i="1"/>
  <c r="B16" i="1"/>
  <c r="B17" i="1"/>
  <c r="B18" i="1"/>
  <c r="B20" i="1"/>
  <c r="B22" i="1"/>
  <c r="B23" i="1"/>
  <c r="B24" i="1"/>
  <c r="B12" i="1"/>
  <c r="H6" i="1"/>
  <c r="G6" i="1"/>
  <c r="F6" i="1"/>
  <c r="B6" i="1"/>
  <c r="I6" i="1"/>
  <c r="E6" i="1"/>
  <c r="C6" i="1" l="1"/>
</calcChain>
</file>

<file path=xl/sharedStrings.xml><?xml version="1.0" encoding="utf-8"?>
<sst xmlns="http://schemas.openxmlformats.org/spreadsheetml/2006/main" count="269" uniqueCount="175">
  <si>
    <t>系统防呆</t>
  </si>
  <si>
    <t>手动作业内容</t>
  </si>
  <si>
    <t>企劃部手動作業站位風險排查</t>
    <phoneticPr fontId="2" type="noConversion"/>
  </si>
  <si>
    <t>倉管課</t>
    <phoneticPr fontId="2" type="noConversion"/>
  </si>
  <si>
    <t>綠燈</t>
    <phoneticPr fontId="2" type="noConversion"/>
  </si>
  <si>
    <t>紅燈</t>
    <phoneticPr fontId="2" type="noConversion"/>
  </si>
  <si>
    <t>待完善</t>
    <phoneticPr fontId="2" type="noConversion"/>
  </si>
  <si>
    <t>系統防呆</t>
    <phoneticPr fontId="2" type="noConversion"/>
  </si>
  <si>
    <t>人工交叉複核</t>
    <phoneticPr fontId="2" type="noConversion"/>
  </si>
  <si>
    <t>無防呆</t>
    <phoneticPr fontId="2" type="noConversion"/>
  </si>
  <si>
    <t>紅燈整改關閉率</t>
    <phoneticPr fontId="2" type="noConversion"/>
  </si>
  <si>
    <t>序號</t>
    <phoneticPr fontId="2" type="noConversion"/>
  </si>
  <si>
    <t>課別</t>
    <phoneticPr fontId="2" type="noConversion"/>
  </si>
  <si>
    <t>潛在風險</t>
    <phoneticPr fontId="2" type="noConversion"/>
  </si>
  <si>
    <t>可能影響後果</t>
    <phoneticPr fontId="2" type="noConversion"/>
  </si>
  <si>
    <t>站位名稱</t>
    <phoneticPr fontId="2" type="noConversion"/>
  </si>
  <si>
    <t>發生頻次</t>
    <phoneticPr fontId="2" type="noConversion"/>
  </si>
  <si>
    <t>後端可卡控</t>
    <phoneticPr fontId="2" type="noConversion"/>
  </si>
  <si>
    <t>後端卡控環節</t>
    <phoneticPr fontId="2" type="noConversion"/>
  </si>
  <si>
    <t>卡控方式</t>
    <phoneticPr fontId="2" type="noConversion"/>
  </si>
  <si>
    <t>系統名稱/防呆規則</t>
    <phoneticPr fontId="2" type="noConversion"/>
  </si>
  <si>
    <t>卡控有效性</t>
    <phoneticPr fontId="2" type="noConversion"/>
  </si>
  <si>
    <t>整改措施</t>
    <phoneticPr fontId="2" type="noConversion"/>
  </si>
  <si>
    <t>風險鄧號</t>
    <phoneticPr fontId="2" type="noConversion"/>
  </si>
  <si>
    <t>責任人</t>
    <phoneticPr fontId="2" type="noConversion"/>
  </si>
  <si>
    <t>完成期限</t>
    <phoneticPr fontId="2" type="noConversion"/>
  </si>
  <si>
    <t>整改狀態</t>
    <phoneticPr fontId="2" type="noConversion"/>
  </si>
  <si>
    <t>驗證結論</t>
    <phoneticPr fontId="2" type="noConversion"/>
  </si>
  <si>
    <t>備註</t>
    <phoneticPr fontId="2" type="noConversion"/>
  </si>
  <si>
    <t>碼頭收貨</t>
    <phoneticPr fontId="2" type="noConversion"/>
  </si>
  <si>
    <t>人工點檢貨物信息</t>
    <phoneticPr fontId="2" type="noConversion"/>
  </si>
  <si>
    <t>每日</t>
  </si>
  <si>
    <t>後端入庫異常</t>
    <phoneticPr fontId="2" type="noConversion"/>
  </si>
  <si>
    <t>是</t>
  </si>
  <si>
    <t>收貨掃描系統</t>
    <phoneticPr fontId="2" type="noConversion"/>
  </si>
  <si>
    <t>系統驗收及信息採集</t>
    <phoneticPr fontId="2" type="noConversion"/>
  </si>
  <si>
    <t>有效</t>
  </si>
  <si>
    <t>落或/貨物信息不完善</t>
    <phoneticPr fontId="2" type="noConversion"/>
  </si>
  <si>
    <t>排查明細</t>
    <phoneticPr fontId="2" type="noConversion"/>
  </si>
  <si>
    <t>排查
項數</t>
    <phoneticPr fontId="2" type="noConversion"/>
  </si>
  <si>
    <t>判定規則：僅“後端可卡控=是 + 卡控方式=系統防呆 + 卡控有效性=有效”判為綠燈；人工交叉複核、無防呆、不可卡控或防呆未完全有效，均判為紅燈。</t>
    <phoneticPr fontId="2" type="noConversion"/>
  </si>
  <si>
    <t>填寫要求：一行對應一個手動作業風險；紅燈必須填寫整改措施、責任人、完成期限，並跟蹤整改狀態及驗證結論。</t>
    <phoneticPr fontId="2" type="noConversion"/>
  </si>
  <si>
    <t>原料入庫</t>
    <phoneticPr fontId="2" type="noConversion"/>
  </si>
  <si>
    <t>手動存儲及填寫管製卡過賬</t>
    <phoneticPr fontId="2" type="noConversion"/>
  </si>
  <si>
    <t>漏過賬/管制卡錯誤/找不到實物</t>
    <phoneticPr fontId="2" type="noConversion"/>
  </si>
  <si>
    <t>後端庫存異常</t>
    <phoneticPr fontId="2" type="noConversion"/>
  </si>
  <si>
    <t>是</t>
    <phoneticPr fontId="2" type="noConversion"/>
  </si>
  <si>
    <t>盤點</t>
    <phoneticPr fontId="2" type="noConversion"/>
  </si>
  <si>
    <t>人工交叉复核</t>
  </si>
  <si>
    <t>定期盤點</t>
    <phoneticPr fontId="2" type="noConversion"/>
  </si>
  <si>
    <t>導入儲位系統</t>
    <phoneticPr fontId="2" type="noConversion"/>
  </si>
  <si>
    <t>史小亮</t>
    <phoneticPr fontId="2" type="noConversion"/>
  </si>
  <si>
    <t>12/E</t>
    <phoneticPr fontId="2" type="noConversion"/>
  </si>
  <si>
    <t>未开始</t>
  </si>
  <si>
    <t>原料發料</t>
    <phoneticPr fontId="2" type="noConversion"/>
  </si>
  <si>
    <t>人工配料</t>
    <phoneticPr fontId="2" type="noConversion"/>
  </si>
  <si>
    <t>多發少發&amp;發錯料</t>
    <phoneticPr fontId="2" type="noConversion"/>
  </si>
  <si>
    <t>生產異常</t>
    <phoneticPr fontId="2" type="noConversion"/>
  </si>
  <si>
    <t>與產線兌點</t>
    <phoneticPr fontId="2" type="noConversion"/>
  </si>
  <si>
    <t>下料時與產線兌點</t>
    <phoneticPr fontId="2" type="noConversion"/>
  </si>
  <si>
    <t>導入掃碼發料</t>
    <phoneticPr fontId="2" type="noConversion"/>
  </si>
  <si>
    <t>Y27/6/E</t>
    <phoneticPr fontId="2" type="noConversion"/>
  </si>
  <si>
    <t>庫存調撥</t>
    <phoneticPr fontId="2" type="noConversion"/>
  </si>
  <si>
    <t>手動填寫儲位及實物異動</t>
    <phoneticPr fontId="2" type="noConversion"/>
  </si>
  <si>
    <t>每周</t>
  </si>
  <si>
    <t>只過賬未異動實物</t>
    <phoneticPr fontId="2" type="noConversion"/>
  </si>
  <si>
    <t>物料丟失&amp;發料異常</t>
    <phoneticPr fontId="2" type="noConversion"/>
  </si>
  <si>
    <t>導入儲位系統
&amp;掃碼作業</t>
    <phoneticPr fontId="2" type="noConversion"/>
  </si>
  <si>
    <t>碼頭出貨點檢</t>
    <phoneticPr fontId="2" type="noConversion"/>
  </si>
  <si>
    <t>人工複核出貨信息</t>
    <phoneticPr fontId="2" type="noConversion"/>
  </si>
  <si>
    <t>貨物信息錯誤</t>
    <phoneticPr fontId="2" type="noConversion"/>
  </si>
  <si>
    <t>影響交付</t>
    <phoneticPr fontId="2" type="noConversion"/>
  </si>
  <si>
    <t>碼頭雙人點檢</t>
    <phoneticPr fontId="2" type="noConversion"/>
  </si>
  <si>
    <t>倉庫&amp;物流交叉點檢</t>
    <phoneticPr fontId="2" type="noConversion"/>
  </si>
  <si>
    <t>物控課</t>
    <phoneticPr fontId="2" type="noConversion"/>
  </si>
  <si>
    <t>PR開立</t>
    <phoneticPr fontId="2" type="noConversion"/>
  </si>
  <si>
    <t>數字輸入錯誤</t>
    <phoneticPr fontId="2" type="noConversion"/>
  </si>
  <si>
    <t>欠料or呆滯</t>
    <phoneticPr fontId="2" type="noConversion"/>
  </si>
  <si>
    <t>主管複核</t>
    <phoneticPr fontId="2" type="noConversion"/>
  </si>
  <si>
    <t>每週三PR清單複核</t>
    <phoneticPr fontId="2" type="noConversion"/>
  </si>
  <si>
    <t>部分有效</t>
  </si>
  <si>
    <t>物料基本信息錄入錯誤</t>
    <phoneticPr fontId="2" type="noConversion"/>
  </si>
  <si>
    <t>不定期</t>
  </si>
  <si>
    <t>影響物料齊套or造成呆滯</t>
    <phoneticPr fontId="2" type="noConversion"/>
  </si>
  <si>
    <t>BOM表複核</t>
    <phoneticPr fontId="2" type="noConversion"/>
  </si>
  <si>
    <t>BOM表用量&amp;機種個數複核</t>
    <phoneticPr fontId="2" type="noConversion"/>
  </si>
  <si>
    <t>庫存實際化</t>
    <phoneticPr fontId="2" type="noConversion"/>
  </si>
  <si>
    <t>否</t>
  </si>
  <si>
    <t>理論庫存與實際庫存偏差大</t>
    <phoneticPr fontId="2" type="noConversion"/>
  </si>
  <si>
    <t>生管課</t>
    <phoneticPr fontId="2" type="noConversion"/>
  </si>
  <si>
    <t>開立工單號</t>
    <phoneticPr fontId="2" type="noConversion"/>
  </si>
  <si>
    <t>輸入料號/數量</t>
    <phoneticPr fontId="2" type="noConversion"/>
  </si>
  <si>
    <t>每日</t>
    <phoneticPr fontId="2" type="noConversion"/>
  </si>
  <si>
    <t>輸入料號/數量錯誤</t>
    <phoneticPr fontId="2" type="noConversion"/>
  </si>
  <si>
    <t>半成品/模組呆滯</t>
    <phoneticPr fontId="2" type="noConversion"/>
  </si>
  <si>
    <t>開立發料單</t>
    <phoneticPr fontId="2" type="noConversion"/>
  </si>
  <si>
    <t>輸入批號信息</t>
    <phoneticPr fontId="2" type="noConversion"/>
  </si>
  <si>
    <t>將不可用且未上鎖物料發至產線</t>
    <phoneticPr fontId="2" type="noConversion"/>
  </si>
  <si>
    <t>生產品質異常</t>
    <phoneticPr fontId="2" type="noConversion"/>
  </si>
  <si>
    <t>倉庫隔離不可用物料</t>
    <phoneticPr fontId="2" type="noConversion"/>
  </si>
  <si>
    <t>實計劃</t>
    <phoneticPr fontId="2" type="noConversion"/>
  </si>
  <si>
    <t>手動輸入input</t>
    <phoneticPr fontId="2" type="noConversion"/>
  </si>
  <si>
    <t>實計劃數量錯誤</t>
    <phoneticPr fontId="2" type="noConversion"/>
  </si>
  <si>
    <t>物控多/少買料</t>
    <phoneticPr fontId="2" type="noConversion"/>
  </si>
  <si>
    <t>林建駒</t>
    <phoneticPr fontId="2" type="noConversion"/>
  </si>
  <si>
    <t>进行中</t>
  </si>
  <si>
    <t>從SAP導出工單數據，用公式自動串input數據</t>
    <phoneticPr fontId="2" type="noConversion"/>
  </si>
  <si>
    <t>MFG複查開立料號/數量</t>
    <phoneticPr fontId="2" type="noConversion"/>
  </si>
  <si>
    <t>MPS</t>
    <phoneticPr fontId="2" type="noConversion"/>
  </si>
  <si>
    <t>MRP</t>
    <phoneticPr fontId="2" type="noConversion"/>
  </si>
  <si>
    <t>關務物流</t>
    <phoneticPr fontId="2" type="noConversion"/>
  </si>
  <si>
    <t>出口</t>
    <phoneticPr fontId="2" type="noConversion"/>
  </si>
  <si>
    <t>手動錄入錯誤</t>
    <phoneticPr fontId="2" type="noConversion"/>
  </si>
  <si>
    <t>報關異常</t>
    <phoneticPr fontId="2" type="noConversion"/>
  </si>
  <si>
    <t>交叉檢查</t>
    <phoneticPr fontId="2" type="noConversion"/>
  </si>
  <si>
    <t>進口</t>
    <phoneticPr fontId="2" type="noConversion"/>
  </si>
  <si>
    <t>備案</t>
    <phoneticPr fontId="2" type="noConversion"/>
  </si>
  <si>
    <t>結報</t>
    <phoneticPr fontId="2" type="noConversion"/>
  </si>
  <si>
    <t>每月</t>
    <phoneticPr fontId="2" type="noConversion"/>
  </si>
  <si>
    <t>影響統計</t>
    <phoneticPr fontId="2" type="noConversion"/>
  </si>
  <si>
    <t>核銷</t>
    <phoneticPr fontId="2" type="noConversion"/>
  </si>
  <si>
    <t>每季度</t>
    <phoneticPr fontId="2" type="noConversion"/>
  </si>
  <si>
    <t>核銷異常</t>
    <phoneticPr fontId="2" type="noConversion"/>
  </si>
  <si>
    <t>設備搬運</t>
    <phoneticPr fontId="2" type="noConversion"/>
  </si>
  <si>
    <t>搬運進度表</t>
    <phoneticPr fontId="2" type="noConversion"/>
  </si>
  <si>
    <t>PR開立</t>
    <phoneticPr fontId="2" type="noConversion"/>
  </si>
  <si>
    <t>基礎信息維護</t>
    <phoneticPr fontId="2" type="noConversion"/>
  </si>
  <si>
    <t>庫存實際化</t>
    <phoneticPr fontId="2" type="noConversion"/>
  </si>
  <si>
    <t>交期管理</t>
    <phoneticPr fontId="2" type="noConversion"/>
  </si>
  <si>
    <t>貼錯交期</t>
    <phoneticPr fontId="2" type="noConversion"/>
  </si>
  <si>
    <t>齊套判斷錯誤</t>
    <phoneticPr fontId="2" type="noConversion"/>
  </si>
  <si>
    <t>達交有誤</t>
    <phoneticPr fontId="2" type="noConversion"/>
  </si>
  <si>
    <t>无效</t>
  </si>
  <si>
    <t>預報關單、承運單、箱單發票送貨單(客戶)、ASN</t>
    <phoneticPr fontId="2" type="noConversion"/>
  </si>
  <si>
    <t>報關/送貨/清關/客戶收貨異常</t>
    <phoneticPr fontId="2" type="noConversion"/>
  </si>
  <si>
    <t>交叉檢查/出貨點檢</t>
    <phoneticPr fontId="2" type="noConversion"/>
  </si>
  <si>
    <t>人工交叉复核/系统防呆(ASN)</t>
    <phoneticPr fontId="2" type="noConversion"/>
  </si>
  <si>
    <t>倉庫包裝作業系統(ASN)</t>
    <phoneticPr fontId="2" type="noConversion"/>
  </si>
  <si>
    <t>托運信息、供應商信息維護、預報關單、承運單、Relabel</t>
    <phoneticPr fontId="2" type="noConversion"/>
  </si>
  <si>
    <t>報關/運輸異常</t>
    <phoneticPr fontId="2" type="noConversion"/>
  </si>
  <si>
    <t>交叉檢查/系統提需求系統下達(Relabel)</t>
    <phoneticPr fontId="2" type="noConversion"/>
  </si>
  <si>
    <t>人工交叉复核/系统防呆(Relabel)</t>
    <phoneticPr fontId="2" type="noConversion"/>
  </si>
  <si>
    <t>托運系統/關務3.0系統/TMS系統/人工逐項複核</t>
    <phoneticPr fontId="2" type="noConversion"/>
  </si>
  <si>
    <t>備案資料錄入、商編歸類</t>
    <phoneticPr fontId="2" type="noConversion"/>
  </si>
  <si>
    <t>手動錄入/歸類錯誤</t>
    <phoneticPr fontId="2" type="noConversion"/>
  </si>
  <si>
    <t>人工交叉复核</t>
    <phoneticPr fontId="2" type="noConversion"/>
  </si>
  <si>
    <t>人工逐項複核</t>
    <phoneticPr fontId="2" type="noConversion"/>
  </si>
  <si>
    <t>費用申請單、成本分析管控</t>
    <phoneticPr fontId="2" type="noConversion"/>
  </si>
  <si>
    <t>付款異常/影響統計</t>
    <phoneticPr fontId="2" type="noConversion"/>
  </si>
  <si>
    <t>電子簽核系統</t>
    <phoneticPr fontId="2" type="noConversion"/>
  </si>
  <si>
    <t>①進/出口報關名錄、②加工貿易賬冊核銷申報表、③料件核減數量明細表、④加工貿易聯網監管邊角料處理情況申報表、⑤賬冊企業保稅貨物庫存盤點清冊、⑥情況說明</t>
    <phoneticPr fontId="2" type="noConversion"/>
  </si>
  <si>
    <t>人工逐項複核</t>
    <phoneticPr fontId="2" type="noConversion"/>
  </si>
  <si>
    <t>交叉檢查</t>
    <phoneticPr fontId="2" type="noConversion"/>
  </si>
  <si>
    <t>需求核算</t>
    <phoneticPr fontId="2" type="noConversion"/>
  </si>
  <si>
    <t>漏連公式</t>
    <phoneticPr fontId="2" type="noConversion"/>
  </si>
  <si>
    <t>漏連or連錯需求</t>
    <phoneticPr fontId="2" type="noConversion"/>
  </si>
  <si>
    <t>公式需求總量驗證</t>
    <phoneticPr fontId="2" type="noConversion"/>
  </si>
  <si>
    <t>MPS總量與WDN總量複核</t>
    <phoneticPr fontId="2" type="noConversion"/>
  </si>
  <si>
    <t>日盤點</t>
    <phoneticPr fontId="2" type="noConversion"/>
  </si>
  <si>
    <t>固定模版</t>
    <phoneticPr fontId="2" type="noConversion"/>
  </si>
  <si>
    <t>腳本匯總輸出</t>
    <phoneticPr fontId="2" type="noConversion"/>
  </si>
  <si>
    <t>與SAP庫存容差管制</t>
    <phoneticPr fontId="2" type="noConversion"/>
  </si>
  <si>
    <t>1.使用AI建立config基表，使用批量開立工單模板，生產料號使用公式帶入, 不允許人工手動輸入
2.SAP上傳待投料數量, 開立工單SAP判定料號/數量是否正確
3.SFC上傳MPS, MFG在incoming站位卡控工單config是否正確
4.優化WIP系統, 簡化開立工單&amp;發料單流程</t>
    <phoneticPr fontId="2" type="noConversion"/>
  </si>
  <si>
    <t>林建駒
李俊明</t>
    <phoneticPr fontId="2" type="noConversion"/>
  </si>
  <si>
    <t>2026/10/15
2026/10/30</t>
    <phoneticPr fontId="2" type="noConversion"/>
  </si>
  <si>
    <t>原材庫存結餘與理論不一致反查投料</t>
    <phoneticPr fontId="2" type="noConversion"/>
  </si>
  <si>
    <t>物控實計劃</t>
    <phoneticPr fontId="2" type="noConversion"/>
  </si>
  <si>
    <t>送貨預約系統上線後可閉環</t>
    <phoneticPr fontId="2" type="noConversion"/>
  </si>
  <si>
    <t>11/E</t>
    <phoneticPr fontId="2" type="noConversion"/>
  </si>
  <si>
    <t>進行中</t>
    <phoneticPr fontId="2" type="noConversion"/>
  </si>
  <si>
    <t>WMS系統上線，導入PDA點檢</t>
    <phoneticPr fontId="2" type="noConversion"/>
  </si>
  <si>
    <t>Y27/9/E</t>
    <phoneticPr fontId="2" type="noConversion"/>
  </si>
  <si>
    <t>按料件匯總WDN交期</t>
    <phoneticPr fontId="2" type="noConversion"/>
  </si>
  <si>
    <t>定期更新Bom list（刪除EOL機種, 增加新機種）</t>
    <phoneticPr fontId="2" type="noConversion"/>
  </si>
  <si>
    <t>杜丹丹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</si>
</sst>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2">
    <font>
      <sz val="11"/>
      <name val="Carlito"/>
    </font>
    <font>
      <sz val="11"/>
      <name val="Carlito"/>
    </font>
    <font>
      <sz val="9"/>
      <name val="細明體"/>
      <family val="3"/>
      <charset val="136"/>
    </font>
    <font>
      <b/>
      <sz val="18"/>
      <color rgb="FFFFFFFF"/>
      <name val="Microsoft YaHei"/>
      <family val="2"/>
      <charset val="134"/>
    </font>
    <font>
      <sz val="11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b/>
      <sz val="15"/>
      <color rgb="FF17365D"/>
      <name val="Microsoft YaHei"/>
      <family val="2"/>
      <charset val="134"/>
    </font>
    <font>
      <b/>
      <sz val="11"/>
      <color rgb="FF7F6000"/>
      <name val="Microsoft YaHei"/>
      <family val="2"/>
      <charset val="134"/>
    </font>
    <font>
      <sz val="11"/>
      <color rgb="FF9C0006"/>
      <name val="Microsoft YaHei"/>
      <family val="2"/>
      <charset val="134"/>
    </font>
    <font>
      <b/>
      <sz val="14"/>
      <color rgb="FFFFFFFF"/>
      <name val="Microsoft YaHei"/>
      <family val="2"/>
      <charset val="134"/>
    </font>
    <font>
      <sz val="11"/>
      <color rgb="FF00B050"/>
      <name val="Microsoft YaHei"/>
      <family val="2"/>
      <charset val="134"/>
    </font>
    <font>
      <sz val="11"/>
      <color rgb="FFFF0000"/>
      <name val="Microsoft YaHei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CE8E6"/>
      </patternFill>
    </fill>
    <fill>
      <patternFill patternType="solid">
        <fgColor rgb="FF5B9BD5"/>
      </patternFill>
    </fill>
    <fill>
      <patternFill patternType="solid">
        <fgColor rgb="FFBF9000"/>
      </patternFill>
    </fill>
    <fill>
      <patternFill patternType="solid">
        <fgColor rgb="FFF7FBFF"/>
      </patternFill>
    </fill>
    <fill>
      <patternFill patternType="solid">
        <fgColor rgb="FFFFF9E6"/>
      </patternFill>
    </fill>
    <fill>
      <patternFill patternType="solid">
        <fgColor rgb="FFFFF5EF"/>
      </patternFill>
    </fill>
    <fill>
      <patternFill patternType="solid">
        <fgColor rgb="FFFFF9E6"/>
        <bgColor indexed="64"/>
      </patternFill>
    </fill>
  </fills>
  <borders count="20">
    <border>
      <left/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rgb="FF9EADBC"/>
      </right>
      <top style="medium">
        <color indexed="64"/>
      </top>
      <bottom style="hair">
        <color rgb="FF9EADBC"/>
      </bottom>
      <diagonal/>
    </border>
    <border>
      <left style="hair">
        <color rgb="FF9EADBC"/>
      </left>
      <right style="hair">
        <color rgb="FF9EADBC"/>
      </right>
      <top style="medium">
        <color indexed="64"/>
      </top>
      <bottom style="hair">
        <color rgb="FF9EADBC"/>
      </bottom>
      <diagonal/>
    </border>
    <border>
      <left style="hair">
        <color rgb="FF9EADBC"/>
      </left>
      <right style="medium">
        <color indexed="64"/>
      </right>
      <top style="medium">
        <color indexed="64"/>
      </top>
      <bottom style="hair">
        <color rgb="FF9EADBC"/>
      </bottom>
      <diagonal/>
    </border>
    <border>
      <left style="medium">
        <color indexed="64"/>
      </left>
      <right style="hair">
        <color rgb="FF9EADBC"/>
      </right>
      <top style="hair">
        <color rgb="FF9EADBC"/>
      </top>
      <bottom style="medium">
        <color indexed="64"/>
      </bottom>
      <diagonal/>
    </border>
    <border>
      <left style="hair">
        <color rgb="FF9EADBC"/>
      </left>
      <right style="hair">
        <color rgb="FF9EADBC"/>
      </right>
      <top style="hair">
        <color rgb="FF9EADBC"/>
      </top>
      <bottom style="medium">
        <color indexed="64"/>
      </bottom>
      <diagonal/>
    </border>
    <border>
      <left style="hair">
        <color rgb="FF9EADBC"/>
      </left>
      <right style="medium">
        <color indexed="64"/>
      </right>
      <top style="hair">
        <color rgb="FF9EADBC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4" fillId="0" borderId="0" xfId="0" applyFont="1" applyAlignment="1">
      <alignment horizontal="center"/>
    </xf>
    <xf numFmtId="0" fontId="5" fillId="8" borderId="2" xfId="1" applyFont="1" applyFill="1" applyBorder="1" applyAlignment="1">
      <alignment horizontal="center" vertical="center" wrapText="1"/>
    </xf>
    <xf numFmtId="0" fontId="4" fillId="9" borderId="4" xfId="1" applyFont="1" applyFill="1" applyBorder="1" applyAlignment="1">
      <alignment horizontal="center" vertical="center" wrapText="1"/>
    </xf>
    <xf numFmtId="0" fontId="4" fillId="10" borderId="4" xfId="1" applyFont="1" applyFill="1" applyBorder="1" applyAlignment="1">
      <alignment horizontal="center" vertical="center" wrapText="1"/>
    </xf>
    <xf numFmtId="0" fontId="4" fillId="11" borderId="4" xfId="1" applyFont="1" applyFill="1" applyBorder="1" applyAlignment="1">
      <alignment horizontal="center" vertical="center" wrapText="1"/>
    </xf>
    <xf numFmtId="176" fontId="4" fillId="11" borderId="4" xfId="1" applyNumberFormat="1" applyFont="1" applyFill="1" applyBorder="1" applyAlignment="1">
      <alignment horizontal="center" vertical="center" wrapText="1"/>
    </xf>
    <xf numFmtId="0" fontId="4" fillId="11" borderId="5" xfId="1" applyFont="1" applyFill="1" applyBorder="1" applyAlignment="1">
      <alignment horizontal="center" vertical="center" wrapText="1"/>
    </xf>
    <xf numFmtId="0" fontId="5" fillId="3" borderId="6" xfId="1" applyFont="1" applyFill="1" applyBorder="1" applyAlignment="1">
      <alignment horizontal="center" vertical="center" wrapText="1"/>
    </xf>
    <xf numFmtId="0" fontId="5" fillId="3" borderId="7" xfId="1" applyFont="1" applyFill="1" applyBorder="1" applyAlignment="1">
      <alignment horizontal="center" vertical="center" wrapText="1"/>
    </xf>
    <xf numFmtId="0" fontId="5" fillId="3" borderId="8" xfId="1" applyFont="1" applyFill="1" applyBorder="1" applyAlignment="1">
      <alignment horizontal="center" vertical="center" wrapText="1"/>
    </xf>
    <xf numFmtId="0" fontId="6" fillId="4" borderId="9" xfId="1" applyFont="1" applyFill="1" applyBorder="1" applyAlignment="1">
      <alignment horizontal="center" vertical="center"/>
    </xf>
    <xf numFmtId="0" fontId="6" fillId="4" borderId="10" xfId="1" applyFont="1" applyFill="1" applyBorder="1" applyAlignment="1">
      <alignment horizontal="center" vertical="center"/>
    </xf>
    <xf numFmtId="9" fontId="6" fillId="4" borderId="11" xfId="1" applyNumberFormat="1" applyFont="1" applyFill="1" applyBorder="1" applyAlignment="1">
      <alignment horizontal="center" vertical="center"/>
    </xf>
    <xf numFmtId="0" fontId="5" fillId="8" borderId="1" xfId="1" applyFont="1" applyFill="1" applyBorder="1" applyAlignment="1">
      <alignment horizontal="center" vertical="center" wrapText="1"/>
    </xf>
    <xf numFmtId="0" fontId="4" fillId="11" borderId="3" xfId="1" applyFont="1" applyFill="1" applyBorder="1" applyAlignment="1">
      <alignment horizontal="center" vertical="center" wrapText="1"/>
    </xf>
    <xf numFmtId="0" fontId="4" fillId="11" borderId="3" xfId="1" applyFont="1" applyFill="1" applyBorder="1" applyAlignment="1">
      <alignment horizontal="left" vertical="center" wrapText="1"/>
    </xf>
    <xf numFmtId="0" fontId="5" fillId="7" borderId="17" xfId="1" applyFont="1" applyFill="1" applyBorder="1" applyAlignment="1">
      <alignment horizontal="center" vertical="center" wrapText="1"/>
    </xf>
    <xf numFmtId="0" fontId="5" fillId="7" borderId="18" xfId="1" applyFont="1" applyFill="1" applyBorder="1" applyAlignment="1">
      <alignment horizontal="center" vertical="center" wrapText="1"/>
    </xf>
    <xf numFmtId="0" fontId="5" fillId="8" borderId="18" xfId="1" applyFont="1" applyFill="1" applyBorder="1" applyAlignment="1">
      <alignment horizontal="center" vertical="center" wrapText="1"/>
    </xf>
    <xf numFmtId="0" fontId="5" fillId="8" borderId="19" xfId="1" applyFont="1" applyFill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10" fillId="10" borderId="15" xfId="1" applyFont="1" applyFill="1" applyBorder="1" applyAlignment="1">
      <alignment horizontal="center" vertical="center" wrapText="1"/>
    </xf>
    <xf numFmtId="0" fontId="11" fillId="10" borderId="15" xfId="1" applyFont="1" applyFill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4" fillId="9" borderId="14" xfId="1" applyFont="1" applyFill="1" applyBorder="1" applyAlignment="1">
      <alignment horizontal="center" vertical="center" wrapText="1"/>
    </xf>
    <xf numFmtId="0" fontId="4" fillId="10" borderId="14" xfId="1" applyFont="1" applyFill="1" applyBorder="1" applyAlignment="1">
      <alignment horizontal="center" vertical="center" wrapText="1"/>
    </xf>
    <xf numFmtId="0" fontId="11" fillId="10" borderId="16" xfId="1" applyFont="1" applyFill="1" applyBorder="1" applyAlignment="1">
      <alignment horizontal="center" vertical="center" wrapText="1"/>
    </xf>
    <xf numFmtId="0" fontId="4" fillId="12" borderId="15" xfId="1" applyFont="1" applyFill="1" applyBorder="1" applyAlignment="1">
      <alignment horizontal="center" vertical="center" wrapText="1"/>
    </xf>
    <xf numFmtId="0" fontId="4" fillId="10" borderId="4" xfId="1" applyFont="1" applyFill="1" applyBorder="1" applyAlignment="1">
      <alignment horizontal="left" vertical="center" wrapText="1"/>
    </xf>
    <xf numFmtId="0" fontId="4" fillId="10" borderId="14" xfId="1" applyFont="1" applyFill="1" applyBorder="1" applyAlignment="1">
      <alignment horizontal="left" vertical="center" wrapText="1"/>
    </xf>
    <xf numFmtId="0" fontId="3" fillId="2" borderId="0" xfId="1" applyFont="1" applyFill="1" applyAlignment="1">
      <alignment horizontal="center" vertical="center"/>
    </xf>
    <xf numFmtId="0" fontId="7" fillId="5" borderId="0" xfId="1" applyFont="1" applyFill="1" applyAlignment="1">
      <alignment horizontal="left" vertical="center" wrapText="1"/>
    </xf>
    <xf numFmtId="0" fontId="8" fillId="6" borderId="0" xfId="1" applyFont="1" applyFill="1" applyAlignment="1">
      <alignment horizontal="left" vertical="center" wrapText="1"/>
    </xf>
    <xf numFmtId="0" fontId="9" fillId="2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26">
    <dxf>
      <font>
        <color rgb="FF9C0006"/>
      </font>
      <fill>
        <patternFill patternType="solid">
          <bgColor rgb="FFFCE8E6"/>
        </patternFill>
      </fill>
    </dxf>
    <dxf>
      <font>
        <color rgb="FF9C0006"/>
      </font>
      <fill>
        <patternFill patternType="solid">
          <bgColor rgb="FFFCE8E6"/>
        </patternFill>
      </fill>
    </dxf>
    <dxf>
      <font>
        <strike val="0"/>
        <outline val="0"/>
        <shadow val="0"/>
        <u val="none"/>
        <vertAlign val="baseline"/>
        <name val="Microsoft YaHei"/>
        <family val="2"/>
        <charset val="134"/>
        <scheme val="none"/>
      </font>
      <alignment horizontal="center" textRotation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name val="Microsoft YaHei"/>
        <family val="2"/>
        <charset val="134"/>
        <scheme val="none"/>
      </font>
      <alignment horizontal="center" textRotation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name val="Microsoft YaHei"/>
        <family val="2"/>
        <charset val="134"/>
        <scheme val="none"/>
      </font>
      <alignment horizontal="center" textRotation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name val="Microsoft YaHei"/>
        <family val="2"/>
        <charset val="134"/>
        <scheme val="none"/>
      </font>
      <alignment horizontal="center" textRotation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name val="Microsoft YaHei"/>
        <family val="2"/>
        <charset val="134"/>
        <scheme val="none"/>
      </font>
      <alignment horizontal="center" textRotation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name val="Microsoft YaHei"/>
        <family val="2"/>
        <charset val="134"/>
        <scheme val="none"/>
      </font>
      <alignment horizontal="center" textRotation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name val="Microsoft YaHei"/>
        <family val="2"/>
        <charset val="134"/>
        <scheme val="none"/>
      </font>
      <numFmt numFmtId="0" formatCode="General"/>
      <fill>
        <patternFill patternType="solid">
          <fgColor indexed="64"/>
          <bgColor rgb="FFFFF9E6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name val="Microsoft YaHei"/>
        <family val="2"/>
        <charset val="134"/>
        <scheme val="none"/>
      </font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name val="Microsoft YaHei"/>
        <family val="2"/>
        <charset val="134"/>
        <scheme val="none"/>
      </font>
      <alignment horizontal="left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name val="Microsoft YaHei"/>
        <family val="2"/>
        <charset val="134"/>
        <scheme val="none"/>
      </font>
      <alignment horizontal="center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name val="Microsoft YaHei"/>
        <family val="2"/>
        <charset val="134"/>
        <scheme val="none"/>
      </font>
      <alignment horizontal="center" textRotation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name val="Microsoft YaHei"/>
        <family val="2"/>
        <charset val="134"/>
        <scheme val="none"/>
      </font>
      <alignment horizontal="center" textRotation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name val="Microsoft YaHei"/>
        <family val="2"/>
        <charset val="134"/>
        <scheme val="none"/>
      </font>
      <alignment horizontal="center" textRotation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name val="Microsoft YaHei"/>
        <family val="2"/>
        <charset val="134"/>
        <scheme val="none"/>
      </font>
      <alignment horizontal="center" textRotation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name val="Microsoft YaHei"/>
        <family val="2"/>
        <charset val="134"/>
        <scheme val="none"/>
      </font>
      <alignment horizontal="center" textRotation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name val="Microsoft YaHei"/>
        <family val="2"/>
        <charset val="134"/>
        <scheme val="none"/>
      </font>
      <alignment horizontal="center" textRotation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name val="Microsoft YaHei"/>
        <family val="2"/>
        <charset val="134"/>
        <scheme val="none"/>
      </font>
      <alignment horizontal="center" textRotation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name val="Microsoft YaHei"/>
        <family val="2"/>
        <charset val="134"/>
        <scheme val="none"/>
      </font>
      <alignment horizontal="center" textRotation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font>
        <strike val="0"/>
        <outline val="0"/>
        <shadow val="0"/>
        <u val="none"/>
        <vertAlign val="baseline"/>
        <name val="Microsoft YaHei"/>
        <family val="2"/>
        <charset val="134"/>
        <scheme val="none"/>
      </font>
      <alignment horizontal="center" textRotation="0" indent="0" justifyLastLine="0" shrinkToFit="0" readingOrder="0"/>
      <border diagonalUp="0" diagonalDown="0">
        <left style="medium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 style="hair">
          <color indexed="64"/>
        </vertical>
        <horizontal style="hair">
          <color indexed="64"/>
        </horizontal>
      </border>
    </dxf>
    <dxf>
      <border>
        <top style="hair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name val="Microsoft YaHei"/>
        <family val="2"/>
        <charset val="134"/>
        <scheme val="none"/>
      </font>
      <alignment horizontal="center" textRotation="0" indent="0" justifyLastLine="0" shrinkToFit="0" readingOrder="0"/>
    </dxf>
    <dxf>
      <border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name val="Microsoft YaHei"/>
        <family val="2"/>
        <charset val="134"/>
        <scheme val="none"/>
      </font>
      <alignment horizontal="center" textRotation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 style="hair">
          <color indexed="64"/>
        </vertical>
        <horizontal style="hair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nualStationRiskTable" displayName="ManualStationRiskTable" ref="B11:T30" totalsRowShown="0" headerRowDxfId="25" dataDxfId="23" headerRowBorderDxfId="24" tableBorderDxfId="22" totalsRowBorderDxfId="21">
  <autoFilter ref="B11:T30" xr:uid="{7ACF761E-D411-4580-A1F8-B5FF1CF4F187}"/>
  <tableColumns count="19">
    <tableColumn id="1" xr3:uid="{00000000-0010-0000-0000-000001000000}" name="序號" dataDxfId="20">
      <calculatedColumnFormula>ROW()-11</calculatedColumnFormula>
    </tableColumn>
    <tableColumn id="2" xr3:uid="{00000000-0010-0000-0000-000002000000}" name="課別" dataDxfId="19"/>
    <tableColumn id="5" xr3:uid="{00000000-0010-0000-0000-000005000000}" name="站位名稱" dataDxfId="18"/>
    <tableColumn id="6" xr3:uid="{00000000-0010-0000-0000-000006000000}" name="手动作业内容" dataDxfId="17"/>
    <tableColumn id="7" xr3:uid="{00000000-0010-0000-0000-000007000000}" name="發生頻次" dataDxfId="16"/>
    <tableColumn id="8" xr3:uid="{00000000-0010-0000-0000-000008000000}" name="潛在風險" dataDxfId="15"/>
    <tableColumn id="9" xr3:uid="{00000000-0010-0000-0000-000009000000}" name="可能影響後果" dataDxfId="14"/>
    <tableColumn id="10" xr3:uid="{00000000-0010-0000-0000-00000A000000}" name="後端可卡控" dataDxfId="13"/>
    <tableColumn id="11" xr3:uid="{00000000-0010-0000-0000-00000B000000}" name="後端卡控環節" dataDxfId="12"/>
    <tableColumn id="12" xr3:uid="{00000000-0010-0000-0000-00000C000000}" name="卡控方式" dataDxfId="11"/>
    <tableColumn id="13" xr3:uid="{00000000-0010-0000-0000-00000D000000}" name="系統名稱/防呆規則" dataDxfId="10"/>
    <tableColumn id="15" xr3:uid="{00000000-0010-0000-0000-00000F000000}" name="卡控有效性" dataDxfId="9"/>
    <tableColumn id="16" xr3:uid="{00000000-0010-0000-0000-000010000000}" name="風險鄧號" dataDxfId="8" dataCellStyle="Normal">
      <calculatedColumnFormula>IF(OR(C12="",D12="",E12="",I12="",K12="",M12=""),"待判定",IF(AND(I12="是",K12="系统防呆",M12="有效"),"綠燈","紅燈"))</calculatedColumnFormula>
    </tableColumn>
    <tableColumn id="17" xr3:uid="{00000000-0010-0000-0000-000011000000}" name="整改措施" dataDxfId="7"/>
    <tableColumn id="18" xr3:uid="{00000000-0010-0000-0000-000012000000}" name="責任人" dataDxfId="6"/>
    <tableColumn id="19" xr3:uid="{00000000-0010-0000-0000-000013000000}" name="完成期限" dataDxfId="5"/>
    <tableColumn id="20" xr3:uid="{00000000-0010-0000-0000-000014000000}" name="整改狀態" dataDxfId="4"/>
    <tableColumn id="21" xr3:uid="{00000000-0010-0000-0000-000015000000}" name="驗證結論" dataDxfId="3"/>
    <tableColumn id="22" xr3:uid="{00000000-0010-0000-0000-000016000000}" name="備註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30"/>
  <sheetViews>
    <sheetView showGridLines="0" tabSelected="1" topLeftCell="A22" zoomScale="80" zoomScaleNormal="80" workbookViewId="0">
      <selection activeCell="N30" sqref="N30"/>
    </sheetView>
  </sheetViews>
  <sheetFormatPr defaultColWidth="8.69921875" defaultRowHeight="15.6"/>
  <cols>
    <col min="1" max="1" width="1.69921875" style="1" customWidth="1"/>
    <col min="2" max="2" width="7.69921875" style="1" customWidth="1"/>
    <col min="3" max="3" width="14" style="1" customWidth="1"/>
    <col min="4" max="4" width="12" style="1" customWidth="1"/>
    <col min="5" max="5" width="17" style="1" bestFit="1" customWidth="1"/>
    <col min="6" max="6" width="13.19921875" style="1" bestFit="1" customWidth="1"/>
    <col min="7" max="7" width="28" style="1" customWidth="1"/>
    <col min="8" max="8" width="15.19921875" style="1" bestFit="1" customWidth="1"/>
    <col min="9" max="9" width="15.3984375" style="1" bestFit="1" customWidth="1"/>
    <col min="10" max="10" width="26" style="1" customWidth="1"/>
    <col min="11" max="11" width="14" style="1" customWidth="1"/>
    <col min="12" max="12" width="25.5" style="1" customWidth="1"/>
    <col min="13" max="13" width="15.19921875" style="1" bestFit="1" customWidth="1"/>
    <col min="14" max="14" width="18" style="1" customWidth="1"/>
    <col min="15" max="15" width="55.09765625" style="1" customWidth="1"/>
    <col min="16" max="16" width="12" style="1" customWidth="1"/>
    <col min="17" max="17" width="28" style="1" customWidth="1"/>
    <col min="18" max="20" width="14" style="1" customWidth="1"/>
    <col min="21" max="16384" width="8.69921875" style="1"/>
  </cols>
  <sheetData>
    <row r="2" spans="2:20">
      <c r="B2" s="31" t="s">
        <v>2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</row>
    <row r="3" spans="2:20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</row>
    <row r="4" spans="2:20" ht="16.2" thickBot="1"/>
    <row r="5" spans="2:20" ht="32.4">
      <c r="B5" s="8" t="s">
        <v>39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  <c r="H5" s="9" t="s">
        <v>9</v>
      </c>
      <c r="I5" s="10" t="s">
        <v>10</v>
      </c>
    </row>
    <row r="6" spans="2:20" ht="34.200000000000003" customHeight="1" thickBot="1">
      <c r="B6" s="11">
        <f>COUNTIF($C$12:$C$30,"&lt;&gt;")</f>
        <v>19</v>
      </c>
      <c r="C6" s="12">
        <f>COUNTIFS($C$12:$C$30,"&lt;&gt;",$N$12:$N$30,"綠燈")</f>
        <v>2</v>
      </c>
      <c r="D6" s="12">
        <f>COUNTIFS($C$12:$C$30,"&lt;&gt;",$N$12:$N$30,"紅燈")</f>
        <v>17</v>
      </c>
      <c r="E6" s="12">
        <f>COUNTIFS($C$12:$C$30,"&lt;&gt;",$N$12:$N$30,"待完善")</f>
        <v>0</v>
      </c>
      <c r="F6" s="12">
        <f>COUNTIFS($C$12:$C$30,"&lt;&gt;",$K$12:$K$30,"系统防呆")</f>
        <v>2</v>
      </c>
      <c r="G6" s="12">
        <f>COUNTIFS($C$12:$C$30,"&lt;&gt;",$K$12:$K$30,"人工交叉复核")</f>
        <v>15</v>
      </c>
      <c r="H6" s="12">
        <f>COUNTIFS($C$12:$C$30,"&lt;&gt;",$K$12:$K$30,"无任何防呆机制")</f>
        <v>0</v>
      </c>
      <c r="I6" s="13">
        <f>IFERROR(COUNTIFS($C$12:$C$30,"&lt;&gt;",$N$12:$N$30,"红灯",$R$12:$R$30,"已关闭")/COUNTIFS($C$12:$C$30,"&lt;&gt;",$N$12:$N$30,"红灯"),0)</f>
        <v>0</v>
      </c>
    </row>
    <row r="7" spans="2:20" ht="34.200000000000003" customHeight="1">
      <c r="B7" s="32" t="s">
        <v>40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</row>
    <row r="8" spans="2:20" ht="28.2" customHeight="1">
      <c r="B8" s="33" t="s">
        <v>41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</row>
    <row r="10" spans="2:20" ht="34.200000000000003" customHeight="1" thickBot="1">
      <c r="B10" s="34" t="s">
        <v>38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</row>
    <row r="11" spans="2:20" ht="42" customHeight="1">
      <c r="B11" s="17" t="s">
        <v>11</v>
      </c>
      <c r="C11" s="18" t="s">
        <v>12</v>
      </c>
      <c r="D11" s="18" t="s">
        <v>15</v>
      </c>
      <c r="E11" s="18" t="s">
        <v>1</v>
      </c>
      <c r="F11" s="18" t="s">
        <v>16</v>
      </c>
      <c r="G11" s="18" t="s">
        <v>13</v>
      </c>
      <c r="H11" s="18" t="s">
        <v>14</v>
      </c>
      <c r="I11" s="19" t="s">
        <v>17</v>
      </c>
      <c r="J11" s="19" t="s">
        <v>18</v>
      </c>
      <c r="K11" s="19" t="s">
        <v>19</v>
      </c>
      <c r="L11" s="19" t="s">
        <v>20</v>
      </c>
      <c r="M11" s="19" t="s">
        <v>21</v>
      </c>
      <c r="N11" s="20" t="s">
        <v>23</v>
      </c>
      <c r="O11" s="14" t="s">
        <v>22</v>
      </c>
      <c r="P11" s="2" t="s">
        <v>24</v>
      </c>
      <c r="Q11" s="2" t="s">
        <v>25</v>
      </c>
      <c r="R11" s="2" t="s">
        <v>26</v>
      </c>
      <c r="S11" s="2" t="s">
        <v>27</v>
      </c>
      <c r="T11" s="2" t="s">
        <v>28</v>
      </c>
    </row>
    <row r="12" spans="2:20" ht="30.6" customHeight="1">
      <c r="B12" s="21">
        <f>ROW()-11</f>
        <v>1</v>
      </c>
      <c r="C12" s="3" t="s">
        <v>3</v>
      </c>
      <c r="D12" s="3" t="s">
        <v>29</v>
      </c>
      <c r="E12" s="3" t="s">
        <v>30</v>
      </c>
      <c r="F12" s="3" t="s">
        <v>31</v>
      </c>
      <c r="G12" s="3" t="s">
        <v>37</v>
      </c>
      <c r="H12" s="3" t="s">
        <v>32</v>
      </c>
      <c r="I12" s="4" t="s">
        <v>33</v>
      </c>
      <c r="J12" s="4" t="s">
        <v>35</v>
      </c>
      <c r="K12" s="4" t="s">
        <v>0</v>
      </c>
      <c r="L12" s="29" t="s">
        <v>34</v>
      </c>
      <c r="M12" s="4" t="s">
        <v>36</v>
      </c>
      <c r="N12" s="22" t="str">
        <f t="shared" ref="N12:N30" si="0">IF(OR(C12="",D12="",E12="",I12="",K12="",M12=""),"待判定",IF(AND(I12="是",K12="系统防呆",M12="有效"),"綠燈","紅燈"))</f>
        <v>綠燈</v>
      </c>
      <c r="O12" s="15" t="s">
        <v>167</v>
      </c>
      <c r="P12" s="5" t="s">
        <v>51</v>
      </c>
      <c r="Q12" s="6" t="s">
        <v>168</v>
      </c>
      <c r="R12" s="5" t="s">
        <v>169</v>
      </c>
      <c r="S12" s="5"/>
      <c r="T12" s="7"/>
    </row>
    <row r="13" spans="2:20" ht="30.6" customHeight="1">
      <c r="B13" s="21">
        <f t="shared" ref="B13:B30" si="1">ROW()-11</f>
        <v>2</v>
      </c>
      <c r="C13" s="3" t="s">
        <v>3</v>
      </c>
      <c r="D13" s="3" t="s">
        <v>42</v>
      </c>
      <c r="E13" s="3" t="s">
        <v>43</v>
      </c>
      <c r="F13" s="3" t="s">
        <v>31</v>
      </c>
      <c r="G13" s="3" t="s">
        <v>44</v>
      </c>
      <c r="H13" s="3" t="s">
        <v>45</v>
      </c>
      <c r="I13" s="4" t="s">
        <v>46</v>
      </c>
      <c r="J13" s="4" t="s">
        <v>47</v>
      </c>
      <c r="K13" s="4" t="s">
        <v>48</v>
      </c>
      <c r="L13" s="29" t="s">
        <v>49</v>
      </c>
      <c r="M13" s="4" t="s">
        <v>36</v>
      </c>
      <c r="N13" s="22" t="str">
        <f t="shared" si="0"/>
        <v>紅燈</v>
      </c>
      <c r="O13" s="15" t="s">
        <v>50</v>
      </c>
      <c r="P13" s="5" t="s">
        <v>51</v>
      </c>
      <c r="Q13" s="6" t="s">
        <v>52</v>
      </c>
      <c r="R13" s="5" t="s">
        <v>105</v>
      </c>
      <c r="S13" s="5"/>
      <c r="T13" s="7"/>
    </row>
    <row r="14" spans="2:20" ht="30.6" customHeight="1">
      <c r="B14" s="21">
        <f t="shared" si="1"/>
        <v>3</v>
      </c>
      <c r="C14" s="3" t="s">
        <v>3</v>
      </c>
      <c r="D14" s="3" t="s">
        <v>54</v>
      </c>
      <c r="E14" s="3" t="s">
        <v>55</v>
      </c>
      <c r="F14" s="3" t="s">
        <v>31</v>
      </c>
      <c r="G14" s="3" t="s">
        <v>56</v>
      </c>
      <c r="H14" s="3" t="s">
        <v>57</v>
      </c>
      <c r="I14" s="4" t="s">
        <v>33</v>
      </c>
      <c r="J14" s="4" t="s">
        <v>58</v>
      </c>
      <c r="K14" s="4" t="s">
        <v>48</v>
      </c>
      <c r="L14" s="29" t="s">
        <v>59</v>
      </c>
      <c r="M14" s="4" t="s">
        <v>36</v>
      </c>
      <c r="N14" s="22" t="str">
        <f t="shared" si="0"/>
        <v>紅燈</v>
      </c>
      <c r="O14" s="15" t="s">
        <v>60</v>
      </c>
      <c r="P14" s="5" t="s">
        <v>51</v>
      </c>
      <c r="Q14" s="6" t="s">
        <v>61</v>
      </c>
      <c r="R14" s="5" t="s">
        <v>105</v>
      </c>
      <c r="S14" s="5"/>
      <c r="T14" s="7"/>
    </row>
    <row r="15" spans="2:20" ht="30.6" customHeight="1">
      <c r="B15" s="21">
        <f t="shared" si="1"/>
        <v>4</v>
      </c>
      <c r="C15" s="3" t="s">
        <v>3</v>
      </c>
      <c r="D15" s="3" t="s">
        <v>62</v>
      </c>
      <c r="E15" s="3" t="s">
        <v>63</v>
      </c>
      <c r="F15" s="3" t="s">
        <v>64</v>
      </c>
      <c r="G15" s="3" t="s">
        <v>65</v>
      </c>
      <c r="H15" s="3" t="s">
        <v>66</v>
      </c>
      <c r="I15" s="4" t="s">
        <v>33</v>
      </c>
      <c r="J15" s="4" t="s">
        <v>158</v>
      </c>
      <c r="K15" s="4" t="s">
        <v>48</v>
      </c>
      <c r="L15" s="29"/>
      <c r="M15" s="4" t="s">
        <v>132</v>
      </c>
      <c r="N15" s="23" t="str">
        <f t="shared" si="0"/>
        <v>紅燈</v>
      </c>
      <c r="O15" s="15" t="s">
        <v>67</v>
      </c>
      <c r="P15" s="5" t="s">
        <v>51</v>
      </c>
      <c r="Q15" s="6" t="s">
        <v>52</v>
      </c>
      <c r="R15" s="5" t="s">
        <v>105</v>
      </c>
      <c r="S15" s="5"/>
      <c r="T15" s="7"/>
    </row>
    <row r="16" spans="2:20" ht="30.6" customHeight="1">
      <c r="B16" s="21">
        <f t="shared" si="1"/>
        <v>5</v>
      </c>
      <c r="C16" s="3" t="s">
        <v>3</v>
      </c>
      <c r="D16" s="3" t="s">
        <v>68</v>
      </c>
      <c r="E16" s="3" t="s">
        <v>69</v>
      </c>
      <c r="F16" s="3" t="s">
        <v>31</v>
      </c>
      <c r="G16" s="3" t="s">
        <v>70</v>
      </c>
      <c r="H16" s="3" t="s">
        <v>71</v>
      </c>
      <c r="I16" s="4" t="s">
        <v>33</v>
      </c>
      <c r="J16" s="4" t="s">
        <v>72</v>
      </c>
      <c r="K16" s="4" t="s">
        <v>48</v>
      </c>
      <c r="L16" s="29" t="s">
        <v>73</v>
      </c>
      <c r="M16" s="4" t="s">
        <v>36</v>
      </c>
      <c r="N16" s="22" t="str">
        <f t="shared" si="0"/>
        <v>紅燈</v>
      </c>
      <c r="O16" s="15" t="s">
        <v>170</v>
      </c>
      <c r="P16" s="5" t="s">
        <v>51</v>
      </c>
      <c r="Q16" s="6" t="s">
        <v>171</v>
      </c>
      <c r="R16" s="5" t="s">
        <v>53</v>
      </c>
      <c r="S16" s="5"/>
      <c r="T16" s="7"/>
    </row>
    <row r="17" spans="2:20" ht="30.6" customHeight="1">
      <c r="B17" s="21">
        <f t="shared" si="1"/>
        <v>6</v>
      </c>
      <c r="C17" s="3" t="s">
        <v>74</v>
      </c>
      <c r="D17" s="3" t="s">
        <v>125</v>
      </c>
      <c r="E17" s="3" t="s">
        <v>75</v>
      </c>
      <c r="F17" s="3" t="s">
        <v>64</v>
      </c>
      <c r="G17" s="3" t="s">
        <v>76</v>
      </c>
      <c r="H17" s="3" t="s">
        <v>77</v>
      </c>
      <c r="I17" s="4" t="s">
        <v>33</v>
      </c>
      <c r="J17" s="4" t="s">
        <v>78</v>
      </c>
      <c r="K17" s="4" t="s">
        <v>48</v>
      </c>
      <c r="L17" s="29" t="s">
        <v>79</v>
      </c>
      <c r="M17" s="4" t="s">
        <v>80</v>
      </c>
      <c r="N17" s="22" t="str">
        <f t="shared" si="0"/>
        <v>紅燈</v>
      </c>
      <c r="O17" s="15"/>
      <c r="P17" s="5"/>
      <c r="Q17" s="6"/>
      <c r="R17" s="5"/>
      <c r="S17" s="5"/>
      <c r="T17" s="7"/>
    </row>
    <row r="18" spans="2:20" ht="30.6" customHeight="1">
      <c r="B18" s="21">
        <f t="shared" si="1"/>
        <v>7</v>
      </c>
      <c r="C18" s="3" t="s">
        <v>74</v>
      </c>
      <c r="D18" s="3" t="s">
        <v>126</v>
      </c>
      <c r="E18" s="3" t="s">
        <v>81</v>
      </c>
      <c r="F18" s="3" t="s">
        <v>82</v>
      </c>
      <c r="G18" s="3" t="s">
        <v>83</v>
      </c>
      <c r="H18" s="3" t="s">
        <v>77</v>
      </c>
      <c r="I18" s="4" t="s">
        <v>33</v>
      </c>
      <c r="J18" s="4" t="s">
        <v>84</v>
      </c>
      <c r="K18" s="4" t="s">
        <v>48</v>
      </c>
      <c r="L18" s="29" t="s">
        <v>85</v>
      </c>
      <c r="M18" s="4" t="s">
        <v>80</v>
      </c>
      <c r="N18" s="22" t="str">
        <f t="shared" si="0"/>
        <v>紅燈</v>
      </c>
      <c r="O18" s="15" t="s">
        <v>173</v>
      </c>
      <c r="P18" s="5" t="s">
        <v>174</v>
      </c>
      <c r="Q18" s="6"/>
      <c r="R18" s="5"/>
      <c r="S18" s="5"/>
      <c r="T18" s="7"/>
    </row>
    <row r="19" spans="2:20" ht="30.6" customHeight="1">
      <c r="B19" s="21">
        <f>ROW()-11</f>
        <v>8</v>
      </c>
      <c r="C19" s="3" t="s">
        <v>74</v>
      </c>
      <c r="D19" s="3" t="s">
        <v>128</v>
      </c>
      <c r="E19" s="3" t="s">
        <v>129</v>
      </c>
      <c r="F19" s="3" t="s">
        <v>64</v>
      </c>
      <c r="G19" s="3" t="s">
        <v>130</v>
      </c>
      <c r="H19" s="3" t="s">
        <v>131</v>
      </c>
      <c r="I19" s="4" t="s">
        <v>87</v>
      </c>
      <c r="J19" s="4" t="s">
        <v>159</v>
      </c>
      <c r="K19" s="4" t="s">
        <v>48</v>
      </c>
      <c r="L19" s="29" t="s">
        <v>172</v>
      </c>
      <c r="M19" s="4" t="s">
        <v>80</v>
      </c>
      <c r="N19" s="23" t="str">
        <f t="shared" si="0"/>
        <v>紅燈</v>
      </c>
      <c r="O19" s="15" t="s">
        <v>160</v>
      </c>
      <c r="P19" s="5"/>
      <c r="Q19" s="6"/>
      <c r="R19" s="5"/>
      <c r="S19" s="5"/>
      <c r="T19" s="7"/>
    </row>
    <row r="20" spans="2:20" ht="30.6" customHeight="1">
      <c r="B20" s="21">
        <f t="shared" si="1"/>
        <v>9</v>
      </c>
      <c r="C20" s="3" t="s">
        <v>74</v>
      </c>
      <c r="D20" s="3" t="s">
        <v>127</v>
      </c>
      <c r="E20" s="3" t="s">
        <v>86</v>
      </c>
      <c r="F20" s="3" t="s">
        <v>64</v>
      </c>
      <c r="G20" s="3" t="s">
        <v>76</v>
      </c>
      <c r="H20" s="3" t="s">
        <v>77</v>
      </c>
      <c r="I20" s="4" t="s">
        <v>87</v>
      </c>
      <c r="J20" s="4" t="s">
        <v>88</v>
      </c>
      <c r="K20" s="4" t="s">
        <v>48</v>
      </c>
      <c r="L20" s="29" t="s">
        <v>161</v>
      </c>
      <c r="M20" s="4" t="s">
        <v>80</v>
      </c>
      <c r="N20" s="22" t="str">
        <f t="shared" si="0"/>
        <v>紅燈</v>
      </c>
      <c r="O20" s="15"/>
      <c r="P20" s="5"/>
      <c r="Q20" s="6"/>
      <c r="R20" s="5"/>
      <c r="S20" s="5"/>
      <c r="T20" s="7"/>
    </row>
    <row r="21" spans="2:20" ht="30.6" customHeight="1">
      <c r="B21" s="21">
        <f>ROW()-11</f>
        <v>10</v>
      </c>
      <c r="C21" s="3" t="s">
        <v>74</v>
      </c>
      <c r="D21" s="3" t="s">
        <v>153</v>
      </c>
      <c r="E21" s="3" t="s">
        <v>154</v>
      </c>
      <c r="F21" s="3" t="s">
        <v>64</v>
      </c>
      <c r="G21" s="3" t="s">
        <v>155</v>
      </c>
      <c r="H21" s="3" t="s">
        <v>77</v>
      </c>
      <c r="I21" s="4" t="s">
        <v>87</v>
      </c>
      <c r="J21" s="4" t="s">
        <v>156</v>
      </c>
      <c r="K21" s="4" t="s">
        <v>48</v>
      </c>
      <c r="L21" s="29" t="s">
        <v>157</v>
      </c>
      <c r="M21" s="4" t="s">
        <v>36</v>
      </c>
      <c r="N21" s="28" t="str">
        <f>IF(OR(C21="",D21="",E21="",I21="",K21="",M21=""),"待判定",IF(AND(I21="是",K21="系统防呆",M21="有效"),"綠燈","紅燈"))</f>
        <v>紅燈</v>
      </c>
      <c r="O21" s="5"/>
      <c r="P21" s="5"/>
      <c r="Q21" s="6"/>
      <c r="R21" s="5"/>
      <c r="S21" s="5"/>
      <c r="T21" s="7"/>
    </row>
    <row r="22" spans="2:20" ht="79.650000000000006" customHeight="1">
      <c r="B22" s="21">
        <f t="shared" si="1"/>
        <v>11</v>
      </c>
      <c r="C22" s="3" t="s">
        <v>89</v>
      </c>
      <c r="D22" s="3" t="s">
        <v>90</v>
      </c>
      <c r="E22" s="3" t="s">
        <v>91</v>
      </c>
      <c r="F22" s="3" t="s">
        <v>92</v>
      </c>
      <c r="G22" s="3" t="s">
        <v>93</v>
      </c>
      <c r="H22" s="3" t="s">
        <v>94</v>
      </c>
      <c r="I22" s="4" t="s">
        <v>33</v>
      </c>
      <c r="J22" s="4" t="s">
        <v>107</v>
      </c>
      <c r="K22" s="4" t="s">
        <v>48</v>
      </c>
      <c r="L22" s="29" t="s">
        <v>108</v>
      </c>
      <c r="M22" s="4" t="s">
        <v>80</v>
      </c>
      <c r="N22" s="22" t="str">
        <f t="shared" si="0"/>
        <v>紅燈</v>
      </c>
      <c r="O22" s="16" t="s">
        <v>162</v>
      </c>
      <c r="P22" s="5" t="s">
        <v>163</v>
      </c>
      <c r="Q22" s="6" t="s">
        <v>164</v>
      </c>
      <c r="R22" s="5" t="s">
        <v>105</v>
      </c>
      <c r="S22" s="5"/>
      <c r="T22" s="7"/>
    </row>
    <row r="23" spans="2:20" ht="30.6" customHeight="1">
      <c r="B23" s="21">
        <f t="shared" si="1"/>
        <v>12</v>
      </c>
      <c r="C23" s="3" t="s">
        <v>89</v>
      </c>
      <c r="D23" s="3" t="s">
        <v>95</v>
      </c>
      <c r="E23" s="3" t="s">
        <v>96</v>
      </c>
      <c r="F23" s="3" t="s">
        <v>31</v>
      </c>
      <c r="G23" s="3" t="s">
        <v>97</v>
      </c>
      <c r="H23" s="3" t="s">
        <v>98</v>
      </c>
      <c r="I23" s="4" t="s">
        <v>87</v>
      </c>
      <c r="J23" s="4" t="s">
        <v>99</v>
      </c>
      <c r="K23" s="4" t="s">
        <v>48</v>
      </c>
      <c r="L23" s="29" t="s">
        <v>109</v>
      </c>
      <c r="M23" s="4" t="s">
        <v>36</v>
      </c>
      <c r="N23" s="22" t="str">
        <f t="shared" si="0"/>
        <v>紅燈</v>
      </c>
      <c r="O23" s="15"/>
      <c r="P23" s="5"/>
      <c r="Q23" s="6"/>
      <c r="R23" s="5"/>
      <c r="S23" s="5"/>
      <c r="T23" s="7"/>
    </row>
    <row r="24" spans="2:20" ht="56.4" customHeight="1">
      <c r="B24" s="21">
        <f t="shared" si="1"/>
        <v>13</v>
      </c>
      <c r="C24" s="3" t="s">
        <v>89</v>
      </c>
      <c r="D24" s="3" t="s">
        <v>100</v>
      </c>
      <c r="E24" s="3" t="s">
        <v>101</v>
      </c>
      <c r="F24" s="3" t="s">
        <v>64</v>
      </c>
      <c r="G24" s="3" t="s">
        <v>102</v>
      </c>
      <c r="H24" s="3" t="s">
        <v>103</v>
      </c>
      <c r="I24" s="4" t="s">
        <v>33</v>
      </c>
      <c r="J24" s="4" t="s">
        <v>166</v>
      </c>
      <c r="K24" s="4" t="s">
        <v>48</v>
      </c>
      <c r="L24" s="29" t="s">
        <v>165</v>
      </c>
      <c r="M24" s="4" t="s">
        <v>36</v>
      </c>
      <c r="N24" s="22" t="str">
        <f t="shared" si="0"/>
        <v>紅燈</v>
      </c>
      <c r="O24" s="16" t="s">
        <v>106</v>
      </c>
      <c r="P24" s="5" t="s">
        <v>104</v>
      </c>
      <c r="Q24" s="6">
        <v>46310</v>
      </c>
      <c r="R24" s="5" t="s">
        <v>53</v>
      </c>
      <c r="S24" s="5"/>
      <c r="T24" s="7"/>
    </row>
    <row r="25" spans="2:20" ht="46.8">
      <c r="B25" s="21">
        <f t="shared" si="1"/>
        <v>14</v>
      </c>
      <c r="C25" s="3" t="s">
        <v>110</v>
      </c>
      <c r="D25" s="3" t="s">
        <v>111</v>
      </c>
      <c r="E25" s="3" t="s">
        <v>133</v>
      </c>
      <c r="F25" s="3" t="s">
        <v>31</v>
      </c>
      <c r="G25" s="3" t="s">
        <v>112</v>
      </c>
      <c r="H25" s="3" t="s">
        <v>134</v>
      </c>
      <c r="I25" s="4" t="s">
        <v>33</v>
      </c>
      <c r="J25" s="4" t="s">
        <v>135</v>
      </c>
      <c r="K25" s="4" t="s">
        <v>136</v>
      </c>
      <c r="L25" s="29" t="s">
        <v>137</v>
      </c>
      <c r="M25" s="4" t="s">
        <v>36</v>
      </c>
      <c r="N25" s="23" t="str">
        <f t="shared" si="0"/>
        <v>紅燈</v>
      </c>
      <c r="O25" s="15"/>
      <c r="P25" s="5"/>
      <c r="Q25" s="6"/>
      <c r="R25" s="5"/>
      <c r="S25" s="5"/>
      <c r="T25" s="7"/>
    </row>
    <row r="26" spans="2:20" ht="46.8">
      <c r="B26" s="21">
        <f t="shared" si="1"/>
        <v>15</v>
      </c>
      <c r="C26" s="3" t="s">
        <v>110</v>
      </c>
      <c r="D26" s="3" t="s">
        <v>115</v>
      </c>
      <c r="E26" s="3" t="s">
        <v>138</v>
      </c>
      <c r="F26" s="3" t="s">
        <v>31</v>
      </c>
      <c r="G26" s="3" t="s">
        <v>112</v>
      </c>
      <c r="H26" s="3" t="s">
        <v>139</v>
      </c>
      <c r="I26" s="4" t="s">
        <v>33</v>
      </c>
      <c r="J26" s="4" t="s">
        <v>140</v>
      </c>
      <c r="K26" s="4" t="s">
        <v>141</v>
      </c>
      <c r="L26" s="29" t="s">
        <v>142</v>
      </c>
      <c r="M26" s="4" t="s">
        <v>36</v>
      </c>
      <c r="N26" s="23" t="str">
        <f t="shared" si="0"/>
        <v>紅燈</v>
      </c>
      <c r="O26" s="15"/>
      <c r="P26" s="5"/>
      <c r="Q26" s="6"/>
      <c r="R26" s="5"/>
      <c r="S26" s="5"/>
      <c r="T26" s="7"/>
    </row>
    <row r="27" spans="2:20" ht="30.6" customHeight="1">
      <c r="B27" s="21">
        <f t="shared" si="1"/>
        <v>16</v>
      </c>
      <c r="C27" s="3" t="s">
        <v>110</v>
      </c>
      <c r="D27" s="3" t="s">
        <v>116</v>
      </c>
      <c r="E27" s="3" t="s">
        <v>143</v>
      </c>
      <c r="F27" s="3" t="s">
        <v>31</v>
      </c>
      <c r="G27" s="3" t="s">
        <v>144</v>
      </c>
      <c r="H27" s="3" t="s">
        <v>113</v>
      </c>
      <c r="I27" s="4" t="s">
        <v>33</v>
      </c>
      <c r="J27" s="4" t="s">
        <v>114</v>
      </c>
      <c r="K27" s="4" t="s">
        <v>145</v>
      </c>
      <c r="L27" s="29" t="s">
        <v>146</v>
      </c>
      <c r="M27" s="4" t="s">
        <v>36</v>
      </c>
      <c r="N27" s="23" t="str">
        <f t="shared" si="0"/>
        <v>紅燈</v>
      </c>
      <c r="O27" s="15"/>
      <c r="P27" s="5"/>
      <c r="Q27" s="6"/>
      <c r="R27" s="5"/>
      <c r="S27" s="5"/>
      <c r="T27" s="7"/>
    </row>
    <row r="28" spans="2:20" ht="30.6" customHeight="1">
      <c r="B28" s="21">
        <f t="shared" si="1"/>
        <v>17</v>
      </c>
      <c r="C28" s="3" t="s">
        <v>110</v>
      </c>
      <c r="D28" s="3" t="s">
        <v>117</v>
      </c>
      <c r="E28" s="3" t="s">
        <v>147</v>
      </c>
      <c r="F28" s="3" t="s">
        <v>118</v>
      </c>
      <c r="G28" s="3" t="s">
        <v>112</v>
      </c>
      <c r="H28" s="3" t="s">
        <v>148</v>
      </c>
      <c r="I28" s="4" t="s">
        <v>33</v>
      </c>
      <c r="J28" s="4" t="s">
        <v>114</v>
      </c>
      <c r="K28" s="4" t="s">
        <v>0</v>
      </c>
      <c r="L28" s="29" t="s">
        <v>149</v>
      </c>
      <c r="M28" s="4" t="s">
        <v>36</v>
      </c>
      <c r="N28" s="22" t="str">
        <f t="shared" si="0"/>
        <v>綠燈</v>
      </c>
      <c r="O28" s="15"/>
      <c r="P28" s="5"/>
      <c r="Q28" s="6"/>
      <c r="R28" s="5"/>
      <c r="S28" s="5"/>
      <c r="T28" s="7"/>
    </row>
    <row r="29" spans="2:20" ht="140.4">
      <c r="B29" s="21">
        <f t="shared" si="1"/>
        <v>18</v>
      </c>
      <c r="C29" s="3" t="s">
        <v>110</v>
      </c>
      <c r="D29" s="3" t="s">
        <v>120</v>
      </c>
      <c r="E29" s="3" t="s">
        <v>150</v>
      </c>
      <c r="F29" s="3" t="s">
        <v>121</v>
      </c>
      <c r="G29" s="3" t="s">
        <v>112</v>
      </c>
      <c r="H29" s="3" t="s">
        <v>122</v>
      </c>
      <c r="I29" s="4" t="s">
        <v>33</v>
      </c>
      <c r="J29" s="4" t="s">
        <v>114</v>
      </c>
      <c r="K29" s="4" t="s">
        <v>145</v>
      </c>
      <c r="L29" s="29" t="s">
        <v>151</v>
      </c>
      <c r="M29" s="4" t="s">
        <v>36</v>
      </c>
      <c r="N29" s="23" t="str">
        <f t="shared" si="0"/>
        <v>紅燈</v>
      </c>
      <c r="O29" s="15"/>
      <c r="P29" s="5"/>
      <c r="Q29" s="6"/>
      <c r="R29" s="5"/>
      <c r="S29" s="5"/>
      <c r="T29" s="7"/>
    </row>
    <row r="30" spans="2:20" ht="30.6" customHeight="1" thickBot="1">
      <c r="B30" s="24">
        <f t="shared" si="1"/>
        <v>19</v>
      </c>
      <c r="C30" s="25" t="s">
        <v>110</v>
      </c>
      <c r="D30" s="25" t="s">
        <v>123</v>
      </c>
      <c r="E30" s="25" t="s">
        <v>124</v>
      </c>
      <c r="F30" s="25" t="s">
        <v>118</v>
      </c>
      <c r="G30" s="25" t="s">
        <v>112</v>
      </c>
      <c r="H30" s="25" t="s">
        <v>119</v>
      </c>
      <c r="I30" s="26" t="s">
        <v>33</v>
      </c>
      <c r="J30" s="26" t="s">
        <v>152</v>
      </c>
      <c r="K30" s="26" t="s">
        <v>145</v>
      </c>
      <c r="L30" s="30" t="s">
        <v>151</v>
      </c>
      <c r="M30" s="26" t="s">
        <v>36</v>
      </c>
      <c r="N30" s="27" t="str">
        <f t="shared" si="0"/>
        <v>紅燈</v>
      </c>
      <c r="O30" s="15"/>
      <c r="P30" s="5"/>
      <c r="Q30" s="6"/>
      <c r="R30" s="5"/>
      <c r="S30" s="5"/>
      <c r="T30" s="7"/>
    </row>
  </sheetData>
  <mergeCells count="4">
    <mergeCell ref="B2:T3"/>
    <mergeCell ref="B7:T7"/>
    <mergeCell ref="B8:T8"/>
    <mergeCell ref="B10:T10"/>
  </mergeCells>
  <phoneticPr fontId="2" type="noConversion"/>
  <conditionalFormatting sqref="O12:T21 O22:R24 O25:T30">
    <cfRule type="expression" dxfId="1" priority="13">
      <formula>$N12="红灯"</formula>
    </cfRule>
  </conditionalFormatting>
  <conditionalFormatting sqref="S22:T24">
    <cfRule type="expression" dxfId="0" priority="17">
      <formula>$N22="红灯"</formula>
    </cfRule>
  </conditionalFormatting>
  <dataValidations count="7">
    <dataValidation type="list" sqref="F12 F25:F30" xr:uid="{2630133F-E46E-4690-9455-5AC6B95B323B}">
      <formula1>"每日,每周,不定期"</formula1>
    </dataValidation>
    <dataValidation type="list" sqref="F13:F24" xr:uid="{00000000-0002-0000-0000-000001000000}">
      <formula1>"每班,每日,每周,不定期"</formula1>
    </dataValidation>
    <dataValidation type="list" sqref="I12:I30" xr:uid="{00000000-0002-0000-0000-000002000000}">
      <formula1>"是,否,不适用"</formula1>
    </dataValidation>
    <dataValidation type="list" sqref="K12:K30" xr:uid="{00000000-0002-0000-0000-000003000000}">
      <formula1>"系统防呆,人工交叉复核,无任何防呆机制"</formula1>
    </dataValidation>
    <dataValidation type="list" sqref="M12:M30" xr:uid="{00000000-0002-0000-0000-000004000000}">
      <formula1>"有效,部分有效,无效"</formula1>
    </dataValidation>
    <dataValidation type="list" sqref="R12:R30" xr:uid="{00000000-0002-0000-0000-000005000000}">
      <formula1>"未开始,进行中,待验证,已关闭"</formula1>
    </dataValidation>
    <dataValidation type="list" sqref="S12:S30" xr:uid="{00000000-0002-0000-0000-000006000000}">
      <formula1>"有效,无效,待验证"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手動作業站位風險排查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史小亮</cp:lastModifiedBy>
  <dcterms:modified xsi:type="dcterms:W3CDTF">2026-09-23T00:14:53Z</dcterms:modified>
</cp:coreProperties>
</file>