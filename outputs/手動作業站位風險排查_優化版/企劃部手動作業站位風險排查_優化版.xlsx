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c86d35471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手動作業站位風險排查" sheetId="1" r:id="R861014a46ad94159"/>
  </x:sheets>
  <x:definedNames>
    <x:definedName name="_xlnm.Print_Area" localSheetId="0">'手動作業站位風險排查'!$A$1:$G$22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9"/>
      <x:color rgb="FF17324A"/>
      <x:name val="Microsoft JhengHei"/>
    </x:font>
    <x:font>
      <x:b/>
      <x:sz val="13"/>
      <x:color rgb="FFFFFFFF"/>
      <x:name val="Microsoft JhengHei"/>
    </x:font>
    <x:font>
      <x:b/>
      <x:sz val="9"/>
      <x:color rgb="FFFFFFFF"/>
      <x:name val="Microsoft JhengHei"/>
    </x:font>
    <x:font>
      <x:b/>
      <x:sz val="9"/>
      <x:color rgb="FF1D7135"/>
      <x:name val="Microsoft JhengHei"/>
    </x:font>
    <x:font>
      <x:b/>
      <x:sz val="8"/>
      <x:color rgb="FF285A78"/>
      <x:name val="Microsoft Jheng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A"/>
      </x:patternFill>
    </x:fill>
    <x:fill>
      <x:patternFill patternType="solid">
        <x:fgColor rgb="FFE8F0F6"/>
      </x:patternFill>
    </x:fill>
    <x:fill>
      <x:patternFill patternType="solid">
        <x:fgColor rgb="FF285A78"/>
      </x:patternFill>
    </x:fill>
    <x:fill>
      <x:patternFill patternType="solid">
        <x:fgColor rgb="FFDDF3DF"/>
      </x:patternFill>
    </x:fill>
  </x:fills>
  <x:borders count="5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9"/>
      </x:left>
      <x:right style="thin">
        <x:color rgb="FFD9E2E9"/>
      </x:right>
      <x:top style="thin">
        <x:color rgb="FFD9E2E9"/>
      </x:top>
      <x:bottom style="thin">
        <x:color rgb="FFD9E2E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4c7ebf9b0490e" /><Relationship Type="http://schemas.openxmlformats.org/officeDocument/2006/relationships/theme" Target="/xl/theme/theme1.xml" Id="Rdbcc19e1c94c4880" /><Relationship Type="http://schemas.openxmlformats.org/officeDocument/2006/relationships/sharedStrings" Target="/xl/sharedStrings.xml" Id="Ra85829d4c9fb4881" /><Relationship Type="http://schemas.openxmlformats.org/officeDocument/2006/relationships/worksheet" Target="/xl/worksheets/sheet1.xml" Id="R861014a46ad941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5" hidden="0" customWidth="1"/>
    <x:col min="2" max="2" width="24" hidden="0" customWidth="1"/>
    <x:col min="3" max="3" width="17" hidden="0" customWidth="1"/>
    <x:col min="4" max="4" width="23" hidden="0" customWidth="1"/>
    <x:col min="5" max="5" width="7" hidden="0" customWidth="1"/>
    <x:col min="6" max="6" width="49" hidden="0" customWidth="1"/>
    <x:col min="7" max="7" width="17" hidden="0" customWidth="1"/>
  </x:cols>
  <x:sheetData>
    <x:row r="1" ht="28" customHeight="1">
      <x:c r="A1" s="3" t="str">
        <x:v>企劃部手動作業站位風險排查</x:v>
      </x:c>
      <x:c r="B1" s="3"/>
      <x:c r="C1" s="3"/>
      <x:c r="D1" s="3"/>
      <x:c r="E1" s="3"/>
      <x:c r="F1" s="3"/>
      <x:c r="G1" s="3"/>
    </x:row>
    <x:row r="2" ht="24" customHeight="1">
      <x:c r="A2" s="4" t="str">
        <x:v>共19項｜綠燈19項｜判定：系統卡控或人工交叉複核均為有效卡控；AI措施為建議方向，實施仍需驗證。</x:v>
      </x:c>
      <x:c r="B2" s="4"/>
      <x:c r="C2" s="4"/>
      <x:c r="D2" s="4"/>
      <x:c r="E2" s="4"/>
      <x:c r="F2" s="4"/>
      <x:c r="G2" s="4"/>
    </x:row>
    <x:row r="3" ht="26" customHeight="1">
      <x:c r="A3" s="9" t="str">
        <x:v>序號</x:v>
      </x:c>
      <x:c r="B3" s="10" t="str">
        <x:v>課別／站位／手動作業</x:v>
      </x:c>
      <x:c r="C3" s="10" t="str">
        <x:v>潛在風險</x:v>
      </x:c>
      <x:c r="D3" s="10" t="str">
        <x:v>現行卡控措施／方式</x:v>
      </x:c>
      <x:c r="E3" s="10" t="str">
        <x:v>燈號</x:v>
      </x:c>
      <x:c r="F3" s="10" t="str">
        <x:v>檢討整改措施</x:v>
      </x:c>
      <x:c r="G3" s="11" t="str">
        <x:v>責任人／期限／進度</x:v>
      </x:c>
    </x:row>
    <x:row r="4" ht="43" customHeight="1">
      <x:c r="A4" s="16" t="n">
        <x:v>1</x:v>
      </x:c>
      <x:c r="B4" s="13" t="str">
        <x:v>倉管課｜碼頭收貨／貨物資訊點檢</x:v>
      </x:c>
      <x:c r="C4" s="13" t="str">
        <x:v>漏收或資訊缺漏</x:v>
      </x:c>
      <x:c r="D4" s="13" t="str">
        <x:v>系統防呆｜收貨掃描與系統驗收</x:v>
      </x:c>
      <x:c r="E4" s="15" t="str">
        <x:f>IF(D4="","待完善",IF(ISNUMBER(SEARCH("無防呆",D4)),"紅燈",IF(OR(ISNUMBER(SEARCH("系統",D4)),ISNUMBER(SEARCH("人工",D4))),"綠燈","待完善")))</x:f>
        <x:v>綠燈</x:v>
      </x:c>
      <x:c r="F4" s="13" t="str">
        <x:v>推進送貨預約系統上線，串接到貨資料與收貨掃碼；AI輔助辨識送貨單欄位及差異，異常由人員確認。</x:v>
      </x:c>
      <x:c r="G4" s="13" t="str">
        <x:v>史小亮｜11/E｜進行中</x:v>
      </x:c>
    </x:row>
    <x:row r="5" ht="43" customHeight="1">
      <x:c r="A5" s="16" t="n">
        <x:v>2</x:v>
      </x:c>
      <x:c r="B5" s="13" t="str">
        <x:v>倉管課｜原料入庫／儲存與過帳</x:v>
      </x:c>
      <x:c r="C5" s="13" t="str">
        <x:v>漏過帳、管制卡錯誤或實物難尋</x:v>
      </x:c>
      <x:c r="D5" s="13" t="str">
        <x:v>人工交叉複核｜定期盤點</x:v>
      </x:c>
      <x:c r="E5" s="15" t="str">
        <x:f>IF(D5="","待完善",IF(ISNUMBER(SEARCH("無防呆",D5)),"紅燈",IF(OR(ISNUMBER(SEARCH("系統",D5)),ISNUMBER(SEARCH("人工",D5))),"綠燈","待完善")))</x:f>
        <x:v>綠燈</x:v>
      </x:c>
      <x:c r="F5" s="13" t="str">
        <x:v>導入儲位管理與掃碼過帳，保留定期盤點；AI分析帳實差異並提示異常儲位。</x:v>
      </x:c>
      <x:c r="G5" s="13" t="str">
        <x:v>史小亮｜12/E｜進行中</x:v>
      </x:c>
    </x:row>
    <x:row r="6" ht="43" customHeight="1">
      <x:c r="A6" s="16" t="n">
        <x:v>3</x:v>
      </x:c>
      <x:c r="B6" s="13" t="str">
        <x:v>倉管課｜原料發料／人工配料</x:v>
      </x:c>
      <x:c r="C6" s="13" t="str">
        <x:v>多發、少發或發錯料</x:v>
      </x:c>
      <x:c r="D6" s="13" t="str">
        <x:v>人工交叉複核｜與產線逐項對點</x:v>
      </x:c>
      <x:c r="E6" s="15" t="str">
        <x:f>IF(D6="","待完善",IF(ISNUMBER(SEARCH("無防呆",D6)),"紅燈",IF(OR(ISNUMBER(SEARCH("系統",D6)),ISNUMBER(SEARCH("人工",D6))),"綠燈","待完善")))</x:f>
        <x:v>綠燈</x:v>
      </x:c>
      <x:c r="F6" s="13" t="str">
        <x:v>導入掃碼發料，核對料號、批次與數量；AI彙整錯發、短發異常供主管追蹤。</x:v>
      </x:c>
      <x:c r="G6" s="13" t="str">
        <x:v>史小亮｜Y27/6/E｜進行中</x:v>
      </x:c>
    </x:row>
    <x:row r="7" ht="43" customHeight="1">
      <x:c r="A7" s="16" t="n">
        <x:v>4</x:v>
      </x:c>
      <x:c r="B7" s="13" t="str">
        <x:v>倉管課｜庫存調撥／儲位異動</x:v>
      </x:c>
      <x:c r="C7" s="13" t="str">
        <x:v>僅過帳而未移動實物</x:v>
      </x:c>
      <x:c r="D7" s="13" t="str">
        <x:v>人工交叉複核｜每日盤點</x:v>
      </x:c>
      <x:c r="E7" s="15" t="str">
        <x:f>IF(D7="","待完善",IF(ISNUMBER(SEARCH("無防呆",D7)),"紅燈",IF(OR(ISNUMBER(SEARCH("系統",D7)),ISNUMBER(SEARCH("人工",D7))),"綠燈","待完善")))</x:f>
        <x:v>綠燈</x:v>
      </x:c>
      <x:c r="F7" s="13" t="str">
        <x:v>導入儲位系統及掃碼調撥，核對過帳與實物移動；AI提示未閉環調撥。</x:v>
      </x:c>
      <x:c r="G7" s="13" t="str">
        <x:v>史小亮｜12/E｜進行中</x:v>
      </x:c>
    </x:row>
    <x:row r="8" ht="43" customHeight="1">
      <x:c r="A8" s="16" t="n">
        <x:v>5</x:v>
      </x:c>
      <x:c r="B8" s="13" t="str">
        <x:v>倉管課｜碼頭出貨／資訊點檢</x:v>
      </x:c>
      <x:c r="C8" s="13" t="str">
        <x:v>出貨資訊錯誤</x:v>
      </x:c>
      <x:c r="D8" s="13" t="str">
        <x:v>人工交叉複核｜倉庫與物流雙人點檢</x:v>
      </x:c>
      <x:c r="E8" s="15" t="str">
        <x:f>IF(D8="","待完善",IF(ISNUMBER(SEARCH("無防呆",D8)),"紅燈",IF(OR(ISNUMBER(SEARCH("系統",D8)),ISNUMBER(SEARCH("人工",D8))),"綠燈","待完善")))</x:f>
        <x:v>綠燈</x:v>
      </x:c>
      <x:c r="F8" s="13" t="str">
        <x:v>按計畫導入WMS及PDA出貨點檢，保留雙人複核；AI比對訂單、箱單與掃碼結果。</x:v>
      </x:c>
      <x:c r="G8" s="13" t="str">
        <x:v>史小亮｜Y27/9/E｜未開始</x:v>
      </x:c>
    </x:row>
    <x:row r="9" ht="43" customHeight="1">
      <x:c r="A9" s="16" t="n">
        <x:v>6</x:v>
      </x:c>
      <x:c r="B9" s="13" t="str">
        <x:v>物控課｜PR開立／數量輸入</x:v>
      </x:c>
      <x:c r="C9" s="13" t="str">
        <x:v>輸入錯誤致欠料或呆滯</x:v>
      </x:c>
      <x:c r="D9" s="13" t="str">
        <x:v>人工交叉複核｜每週PR清單主管複核</x:v>
      </x:c>
      <x:c r="E9" s="15" t="str">
        <x:f>IF(D9="","待完善",IF(ISNUMBER(SEARCH("無防呆",D9)),"紅燈",IF(OR(ISNUMBER(SEARCH("系統",D9)),ISNUMBER(SEARCH("人工",D9))),"綠燈","待完善")))</x:f>
        <x:v>綠燈</x:v>
      </x:c>
      <x:c r="F9" s="13" t="str">
        <x:v>維持每週PR清單複核；以規則比對需求、庫存與採購數量，AI提示異常供物控確認。</x:v>
      </x:c>
      <x:c r="G9" s="13" t="str"/>
    </x:row>
    <x:row r="10" ht="43" customHeight="1">
      <x:c r="A10" s="16" t="n">
        <x:v/>
      </x:c>
      <x:c r="B10" s="13" t="str">
        <x:v>物控課｜基礎資訊／BOM維護</x:v>
      </x:c>
      <x:c r="C10" s="13" t="str">
        <x:v>物料資訊錯誤致欠料或呆滯</x:v>
      </x:c>
      <x:c r="D10" s="13" t="str">
        <x:v>人工交叉複核｜BOM用量與機種數複核</x:v>
      </x:c>
      <x:c r="E10" s="15" t="str">
        <x:f>IF(D10="","待完善",IF(ISNUMBER(SEARCH("無防呆",D10)),"紅燈",IF(OR(ISNUMBER(SEARCH("系統",D10)),ISNUMBER(SEARCH("人工",D10))),"綠燈","待完善")))</x:f>
        <x:v>綠燈</x:v>
      </x:c>
      <x:c r="F10" s="13" t="str">
        <x:v>定期維護BOM清單，清除EOL機種並新增機種；AI比對版本差異，人工核准後更新。</x:v>
      </x:c>
      <x:c r="G10" s="13" t="str">
        <x:v>杜丹丹</x:v>
      </x:c>
    </x:row>
    <x:row r="11" ht="43" customHeight="1">
      <x:c r="A11" s="16" t="n">
        <x:v>8</x:v>
      </x:c>
      <x:c r="B11" s="13" t="str">
        <x:v>物控課｜交期管理／WDN更新</x:v>
      </x:c>
      <x:c r="C11" s="13" t="str">
        <x:v>交期貼錯致齊套誤判</x:v>
      </x:c>
      <x:c r="D11" s="13" t="str">
        <x:v>人工交叉複核｜按料件彙總WDN交期</x:v>
      </x:c>
      <x:c r="E11" s="15" t="str">
        <x:f>IF(D11="","待完善",IF(ISNUMBER(SEARCH("無防呆",D11)),"紅燈",IF(OR(ISNUMBER(SEARCH("系統",D11)),ISNUMBER(SEARCH("人工",D11))),"綠燈","待完善")))</x:f>
        <x:v>綠燈</x:v>
      </x:c>
      <x:c r="F11" s="13" t="str">
        <x:v>以腳本按料件彙總WDN交期並按固定模板輸出；AI提示交期衝突與異常變動。</x:v>
      </x:c>
      <x:c r="G11" s="13" t="str"/>
    </x:row>
    <x:row r="12" ht="43" customHeight="1">
      <x:c r="A12" s="16" t="n">
        <x:v/>
      </x:c>
      <x:c r="B12" s="13" t="str">
        <x:v>物控課｜庫存實際化／數量維護</x:v>
      </x:c>
      <x:c r="C12" s="13" t="str">
        <x:v>輸入錯誤致欠料或呆滯</x:v>
      </x:c>
      <x:c r="D12" s="13" t="str">
        <x:v>人工交叉複核｜與SAP庫存容差比對</x:v>
      </x:c>
      <x:c r="E12" s="15" t="str">
        <x:f>IF(D12="","待完善",IF(ISNUMBER(SEARCH("無防呆",D12)),"紅燈",IF(OR(ISNUMBER(SEARCH("系統",D12)),ISNUMBER(SEARCH("人工",D12))),"綠燈","待完善")))</x:f>
        <x:v>綠燈</x:v>
      </x:c>
      <x:c r="F12" s="13" t="str">
        <x:v>維持SAP庫存容差比對；AI依歷史偏差提示需覆盤料件，差異由人員核實。</x:v>
      </x:c>
      <x:c r="G12" s="13" t="str"/>
    </x:row>
    <x:row r="13" ht="43" customHeight="1">
      <x:c r="A13" s="16" t="n">
        <x:v/>
      </x:c>
      <x:c r="B13" s="13" t="str">
        <x:v>物控課｜需求核算／公式連結</x:v>
      </x:c>
      <x:c r="C13" s="13" t="str">
        <x:v>漏連或錯連需求</x:v>
      </x:c>
      <x:c r="D13" s="13" t="str">
        <x:v>人工交叉複核｜MPS與WDN總量複核</x:v>
      </x:c>
      <x:c r="E13" s="15" t="str">
        <x:f>IF(D13="","待完善",IF(ISNUMBER(SEARCH("無防呆",D13)),"紅燈",IF(OR(ISNUMBER(SEARCH("系統",D13)),ISNUMBER(SEARCH("人工",D13))),"綠燈","待完善")))</x:f>
        <x:v>綠燈</x:v>
      </x:c>
      <x:c r="F13" s="13" t="str">
        <x:v>保留MPS與WDN總量交叉複核；以公式或程式檢查漏連、錯連，AI輔助說明差異。</x:v>
      </x:c>
      <x:c r="G13" s="13" t="str"/>
    </x:row>
    <x:row r="14" ht="72" customHeight="1">
      <x:c r="A14" s="16" t="n">
        <x:v/>
      </x:c>
      <x:c r="B14" s="13" t="str">
        <x:v>生管課｜開立工單／料號與數量</x:v>
      </x:c>
      <x:c r="C14" s="13" t="str">
        <x:v>料號或數量錯誤致呆滯</x:v>
      </x:c>
      <x:c r="D14" s="13" t="str">
        <x:v>人工交叉複核｜MFG複查並比對MPS</x:v>
      </x:c>
      <x:c r="E14" s="15" t="str">
        <x:f>IF(D14="","待完善",IF(ISNUMBER(SEARCH("無防呆",D14)),"紅燈",IF(OR(ISNUMBER(SEARCH("系統",D14)),ISNUMBER(SEARCH("人工",D14))),"綠燈","待完善")))</x:f>
        <x:v>綠燈</x:v>
      </x:c>
      <x:c r="F14" s="13" t="str">
        <x:v>建立Config基表及批量開單模板，料號由公式帶入；SAP校驗料號與數量，SFC比對MPS配置，並優化WIP流程。AI提示配置異常，人工核准。</x:v>
      </x:c>
      <x:c r="G14" s="13" t="str">
        <x:v>林建駒、李俊明｜2026/10/15、10/30｜進行中</x:v>
      </x:c>
    </x:row>
    <x:row r="15" ht="43" customHeight="1">
      <x:c r="A15" s="16" t="n">
        <x:v>12</x:v>
      </x:c>
      <x:c r="B15" s="13" t="str">
        <x:v>生管課｜開立發料單／批次輸入</x:v>
      </x:c>
      <x:c r="C15" s="13" t="str">
        <x:v>不可用物料發至產線</x:v>
      </x:c>
      <x:c r="D15" s="13" t="str">
        <x:v>人工交叉複核｜倉庫隔離不可用物料</x:v>
      </x:c>
      <x:c r="E15" s="15" t="str">
        <x:f>IF(D15="","待完善",IF(ISNUMBER(SEARCH("無防呆",D15)),"紅燈",IF(OR(ISNUMBER(SEARCH("系統",D15)),ISNUMBER(SEARCH("人工",D15))),"綠燈","待完善")))</x:f>
        <x:v>綠燈</x:v>
      </x:c>
      <x:c r="F15" s="13" t="str">
        <x:v>倉庫隔離並鎖定不可用物料；發料前校驗物料狀態與批次，AI提示異常批次供人工複核。</x:v>
      </x:c>
      <x:c r="G15" s="13" t="str"/>
    </x:row>
    <x:row r="16" ht="43" customHeight="1">
      <x:c r="A16" s="16" t="n">
        <x:v/>
      </x:c>
      <x:c r="B16" s="13" t="str">
        <x:v>生管課｜實計畫／投入數量</x:v>
      </x:c>
      <x:c r="C16" s="13" t="str">
        <x:v>實計畫數量錯誤影響採購</x:v>
      </x:c>
      <x:c r="D16" s="13" t="str">
        <x:v>人工交叉複核｜物控交叉複核原料結餘</x:v>
      </x:c>
      <x:c r="E16" s="15" t="str">
        <x:f>IF(D16="","待完善",IF(ISNUMBER(SEARCH("無防呆",D16)),"紅燈",IF(OR(ISNUMBER(SEARCH("系統",D16)),ISNUMBER(SEARCH("人工",D16))),"綠燈","待完善")))</x:f>
        <x:v>綠燈</x:v>
      </x:c>
      <x:c r="F16" s="13" t="str">
        <x:v>從SAP匯出工單資料，以公式帶入實計畫；AI提示投入量與原料結餘異常，物控複核。</x:v>
      </x:c>
      <x:c r="G16" s="13" t="str">
        <x:v>林建駒｜2026/10/15｜未開始</x:v>
      </x:c>
    </x:row>
    <x:row r="17" ht="43" customHeight="1">
      <x:c r="A17" s="16" t="n">
        <x:v>14</x:v>
      </x:c>
      <x:c r="B17" s="13" t="str">
        <x:v>關務物流｜出口／單證與ASN</x:v>
      </x:c>
      <x:c r="C17" s="13" t="str">
        <x:v>錄入錯誤影響報關及交付</x:v>
      </x:c>
      <x:c r="D17" s="13" t="str">
        <x:v>系統＋人工複核｜交叉檢查、出貨點檢與ASN</x:v>
      </x:c>
      <x:c r="E17" s="15" t="str">
        <x:f>IF(D17="","待完善",IF(ISNUMBER(SEARCH("無防呆",D17)),"紅燈",IF(OR(ISNUMBER(SEARCH("系統",D17)),ISNUMBER(SEARCH("人工",D17))),"綠燈","待完善")))</x:f>
        <x:v>綠燈</x:v>
      </x:c>
      <x:c r="F17" s="13" t="str">
        <x:v>維持交叉檢查與ASN卡控；AI擷取並比對報關單、承運單、箱單、發票及ASN欄位，異常由人員確認。</x:v>
      </x:c>
      <x:c r="G17" s="13" t="str"/>
    </x:row>
    <x:row r="18" ht="43" customHeight="1">
      <x:c r="A18" s="16" t="n">
        <x:v/>
      </x:c>
      <x:c r="B18" s="13" t="str">
        <x:v>關務物流｜進口／單證與Relabel</x:v>
      </x:c>
      <x:c r="C18" s="13" t="str">
        <x:v>錄入錯誤影響報關及運輸</x:v>
      </x:c>
      <x:c r="D18" s="13" t="str">
        <x:v>系統＋人工複核｜交叉檢查與Relabel系統</x:v>
      </x:c>
      <x:c r="E18" s="15" t="str">
        <x:f>IF(D18="","待完善",IF(ISNUMBER(SEARCH("無防呆",D18)),"紅燈",IF(OR(ISNUMBER(SEARCH("系統",D18)),ISNUMBER(SEARCH("人工",D18))),"綠燈","待完善")))</x:f>
        <x:v>綠燈</x:v>
      </x:c>
      <x:c r="F18" s="13" t="str">
        <x:v>保留Relabel系統下達與人工複核；AI比對托運、供應商及進口單證欄位，異常由人員確認。</x:v>
      </x:c>
      <x:c r="G18" s="13" t="str"/>
    </x:row>
    <x:row r="19" ht="43" customHeight="1">
      <x:c r="A19" s="16" t="n">
        <x:v/>
      </x:c>
      <x:c r="B19" s="13" t="str">
        <x:v>關務物流｜備案／資料及商編</x:v>
      </x:c>
      <x:c r="C19" s="13" t="str">
        <x:v>錄入或歸類錯誤</x:v>
      </x:c>
      <x:c r="D19" s="13" t="str">
        <x:v>人工交叉複核｜關務逐項交叉檢查</x:v>
      </x:c>
      <x:c r="E19" s="15" t="str">
        <x:f>IF(D19="","待完善",IF(ISNUMBER(SEARCH("無防呆",D19)),"紅燈",IF(OR(ISNUMBER(SEARCH("系統",D19)),ISNUMBER(SEARCH("人工",D19))),"綠燈","待完善")))</x:f>
        <x:v>綠燈</x:v>
      </x:c>
      <x:c r="F19" s="13" t="str">
        <x:v>保留逐項複核；AI擷取備案欄位並提供商編候選，歸類由關務審核確認。</x:v>
      </x:c>
      <x:c r="G19" s="13" t="str"/>
    </x:row>
    <x:row r="20" ht="43" customHeight="1">
      <x:c r="A20" s="16" t="n">
        <x:v/>
      </x:c>
      <x:c r="B20" s="13" t="str">
        <x:v>關務物流｜結報／費用與成本</x:v>
      </x:c>
      <x:c r="C20" s="13" t="str">
        <x:v>錄入錯誤影響付款或統計</x:v>
      </x:c>
      <x:c r="D20" s="13" t="str">
        <x:v>系統防呆｜電子簽核系統</x:v>
      </x:c>
      <x:c r="E20" s="15" t="str">
        <x:f>IF(D20="","待完善",IF(ISNUMBER(SEARCH("無防呆",D20)),"紅燈",IF(OR(ISNUMBER(SEARCH("系統",D20)),ISNUMBER(SEARCH("人工",D20))),"綠燈","待完善")))</x:f>
        <x:v>綠燈</x:v>
      </x:c>
      <x:c r="F20" s="13" t="str">
        <x:v>維持電子簽核；AI比對費用申請、付款憑證與成本分類，提示差異供審核。</x:v>
      </x:c>
      <x:c r="G20" s="13" t="str"/>
    </x:row>
    <x:row r="21" ht="43" customHeight="1">
      <x:c r="A21" s="16" t="n">
        <x:v/>
      </x:c>
      <x:c r="B21" s="13" t="str">
        <x:v>關務物流｜核銷／報關與帳冊</x:v>
      </x:c>
      <x:c r="C21" s="13" t="str">
        <x:v>錄入錯誤致核銷異常</x:v>
      </x:c>
      <x:c r="D21" s="13" t="str">
        <x:v>人工交叉複核｜申報表與帳冊逐項複核</x:v>
      </x:c>
      <x:c r="E21" s="15" t="str">
        <x:f>IF(D21="","待完善",IF(ISNUMBER(SEARCH("無防呆",D21)),"紅燈",IF(OR(ISNUMBER(SEARCH("系統",D21)),ISNUMBER(SEARCH("人工",D21))),"綠燈","待完善")))</x:f>
        <x:v>綠燈</x:v>
      </x:c>
      <x:c r="F21" s="13" t="str">
        <x:v>保留核銷資料逐項複核；AI擷取申報欄位並比對報關、帳冊及庫存數量，差異由關務確認。</x:v>
      </x:c>
      <x:c r="G21" s="13" t="str"/>
    </x:row>
    <x:row r="22" ht="43" customHeight="1">
      <x:c r="A22" s="16" t="n">
        <x:v/>
      </x:c>
      <x:c r="B22" s="13" t="str">
        <x:v>關務物流｜設備搬運／進度表</x:v>
      </x:c>
      <x:c r="C22" s="13" t="str">
        <x:v>錄入錯誤影響統計</x:v>
      </x:c>
      <x:c r="D22" s="13" t="str">
        <x:v>人工交叉複核｜搬運進度交叉檢查</x:v>
      </x:c>
      <x:c r="E22" s="15" t="str">
        <x:f>IF(D22="","待完善",IF(ISNUMBER(SEARCH("無防呆",D22)),"紅燈",IF(OR(ISNUMBER(SEARCH("系統",D22)),ISNUMBER(SEARCH("人工",D22))),"綠燈","待完善")))</x:f>
        <x:v>綠燈</x:v>
      </x:c>
      <x:c r="F22" s="13" t="str">
        <x:v>保留搬運進度表交叉檢查；AI彙整搬運節點及逾期異常，人工確認後更新進度。</x:v>
      </x:c>
      <x:c r="G22" s="13" t="str"/>
    </x:row>
  </x:sheetData>
  <x:mergeCells>
    <x:mergeCell ref="A1:G1"/>
    <x:mergeCell ref="A2:G2"/>
  </x:mergeCells>
  <x:printOptions horizontalCentered="1"/>
  <x:pageMargins left="0.18" right="0.18" top="0.20" bottom="0.20" header="0.10" footer="0.10"/>
  <x:pageSetup paperSize="9" orientation="landscape" fitToWidth="1" fitToHeight="1"/>
</x:worksheet>
</file>